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oham\Downloads\"/>
    </mc:Choice>
  </mc:AlternateContent>
  <xr:revisionPtr revIDLastSave="0" documentId="8_{B889D194-9436-4EF8-9A0F-61CFDBA48FB4}" xr6:coauthVersionLast="47" xr6:coauthVersionMax="47" xr10:uidLastSave="{00000000-0000-0000-0000-000000000000}"/>
  <bookViews>
    <workbookView xWindow="-120" yWindow="-120" windowWidth="38640" windowHeight="21120" tabRatio="500" activeTab="8" xr2:uid="{00000000-000D-0000-FFFF-FFFF00000000}"/>
  </bookViews>
  <sheets>
    <sheet name="Page de Garde" sheetId="1" r:id="rId1"/>
    <sheet name="Contribution" sheetId="9" r:id="rId2"/>
    <sheet name="Récapitulatif Global" sheetId="2" r:id="rId3"/>
    <sheet name="LANOUAR" sheetId="3" r:id="rId4"/>
    <sheet name="BENHABIB" sheetId="4" r:id="rId5"/>
    <sheet name="FELOUAH" sheetId="5" r:id="rId6"/>
    <sheet name="MEHADJI" sheetId="6" r:id="rId7"/>
    <sheet name="BOUSARGHINI" sheetId="7" r:id="rId8"/>
    <sheet name="Synthèse Hebdo" sheetId="8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2" i="2" l="1"/>
  <c r="C30" i="2" s="1"/>
  <c r="D154" i="8"/>
  <c r="D145" i="8"/>
  <c r="D136" i="8"/>
  <c r="D127" i="8"/>
  <c r="D118" i="8"/>
  <c r="D109" i="8"/>
  <c r="D100" i="8"/>
  <c r="D91" i="8"/>
  <c r="D82" i="8"/>
  <c r="D73" i="8"/>
  <c r="D64" i="8"/>
  <c r="D55" i="8"/>
  <c r="D46" i="8"/>
  <c r="D37" i="8"/>
  <c r="D28" i="8"/>
  <c r="D19" i="8"/>
  <c r="D10" i="8"/>
  <c r="C55" i="7"/>
  <c r="C45" i="6"/>
  <c r="C43" i="5"/>
  <c r="C43" i="4"/>
  <c r="C43" i="3"/>
  <c r="G22" i="2"/>
  <c r="C31" i="2" s="1"/>
  <c r="E22" i="2"/>
  <c r="C29" i="2" s="1"/>
  <c r="D22" i="2"/>
  <c r="C28" i="2" s="1"/>
  <c r="C22" i="2"/>
  <c r="C27" i="2" s="1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I5" i="2" s="1"/>
  <c r="I6" i="2" l="1"/>
  <c r="I7" i="2" s="1"/>
  <c r="I8" i="2" s="1"/>
  <c r="I9" i="2" s="1"/>
  <c r="I10" i="2" s="1"/>
  <c r="I11" i="2" s="1"/>
  <c r="I12" i="2" s="1"/>
  <c r="I13" i="2" s="1"/>
  <c r="I14" i="2" s="1"/>
  <c r="I15" i="2" s="1"/>
  <c r="I16" i="2" s="1"/>
  <c r="I17" i="2" s="1"/>
  <c r="I18" i="2" s="1"/>
  <c r="I19" i="2" s="1"/>
  <c r="I20" i="2" s="1"/>
  <c r="I21" i="2" s="1"/>
  <c r="H22" i="2"/>
  <c r="D30" i="2" s="1"/>
  <c r="D29" i="2" l="1"/>
  <c r="D28" i="2"/>
  <c r="D31" i="2"/>
  <c r="I22" i="2"/>
  <c r="D27" i="2"/>
</calcChain>
</file>

<file path=xl/sharedStrings.xml><?xml version="1.0" encoding="utf-8"?>
<sst xmlns="http://schemas.openxmlformats.org/spreadsheetml/2006/main" count="807" uniqueCount="230">
  <si>
    <t>PROJET MNÉMOSYNE</t>
  </si>
  <si>
    <t>Feuilles de Temps - Suivi des Contributions</t>
  </si>
  <si>
    <t>Période du projet : 26 septembre 2025 au 22 janvier 2026</t>
  </si>
  <si>
    <t>Durée totale : 17 semaines</t>
  </si>
  <si>
    <t>ÉQUIPE PROJET</t>
  </si>
  <si>
    <t>●</t>
  </si>
  <si>
    <t>LANOUAR Amel</t>
  </si>
  <si>
    <t>Cheffe de groupe</t>
  </si>
  <si>
    <t>BENHABIB Zoubida</t>
  </si>
  <si>
    <t>Développeuse BDD</t>
  </si>
  <si>
    <t>FELOUAH Melissa</t>
  </si>
  <si>
    <t>MEHADJI Mohamed-Yacine</t>
  </si>
  <si>
    <t>Développeur Front-End</t>
  </si>
  <si>
    <t>BOUSARGHINI Mohamed</t>
  </si>
  <si>
    <t>Développeur Full-Stack</t>
  </si>
  <si>
    <t>RÉCAPITULATIF GLOBAL DES HEURES</t>
  </si>
  <si>
    <t>Projet Mnémosyne | 26 septembre 2025 → 22 janvier 2026 | 17 semaines</t>
  </si>
  <si>
    <t>Sem.</t>
  </si>
  <si>
    <t>Période</t>
  </si>
  <si>
    <t>LANOUAR A.
(h)</t>
  </si>
  <si>
    <t>BENHABIB Z.
(h)</t>
  </si>
  <si>
    <t>FELOUAH M.
(h)</t>
  </si>
  <si>
    <t>MEHADJI M-Y.
(h)</t>
  </si>
  <si>
    <t>BOUSARGHINI M.
(h)</t>
  </si>
  <si>
    <t>Total Sem.
(h)</t>
  </si>
  <si>
    <t>Cumul
(h)</t>
  </si>
  <si>
    <t>S01</t>
  </si>
  <si>
    <t>26/09/2025 - 02/10/2025</t>
  </si>
  <si>
    <t>S02</t>
  </si>
  <si>
    <t>03/10/2025 - 09/10/2025</t>
  </si>
  <si>
    <t>S03</t>
  </si>
  <si>
    <t>10/10/2025 - 16/10/2025</t>
  </si>
  <si>
    <t>S04</t>
  </si>
  <si>
    <t>17/10/2025 - 23/10/2025</t>
  </si>
  <si>
    <t>S05</t>
  </si>
  <si>
    <t>24/10/2025 - 30/10/2025</t>
  </si>
  <si>
    <t>S06</t>
  </si>
  <si>
    <t>31/10/2025 - 06/11/2025</t>
  </si>
  <si>
    <t>S07</t>
  </si>
  <si>
    <t>07/11/2025 - 13/11/2025</t>
  </si>
  <si>
    <t>S08</t>
  </si>
  <si>
    <t>14/11/2025 - 20/11/2025</t>
  </si>
  <si>
    <t>S09</t>
  </si>
  <si>
    <t>21/11/2025 - 27/11/2025</t>
  </si>
  <si>
    <t>S10</t>
  </si>
  <si>
    <t>28/11/2025 - 04/12/2025</t>
  </si>
  <si>
    <t>S11</t>
  </si>
  <si>
    <t>05/12/2025 - 11/12/2025</t>
  </si>
  <si>
    <t>S12</t>
  </si>
  <si>
    <t>12/12/2025 - 18/12/2025</t>
  </si>
  <si>
    <t>S13</t>
  </si>
  <si>
    <t>19/12/2025 - 25/12/2025</t>
  </si>
  <si>
    <t>S14</t>
  </si>
  <si>
    <t>26/12/2025 - 01/01/2026</t>
  </si>
  <si>
    <t>S15</t>
  </si>
  <si>
    <t>02/01/2026 - 08/01/2026</t>
  </si>
  <si>
    <t>S16</t>
  </si>
  <si>
    <t>09/01/2026 - 15/01/2026</t>
  </si>
  <si>
    <t>S17</t>
  </si>
  <si>
    <t>16/01/2026 - 22/01/2026</t>
  </si>
  <si>
    <t>TOTAL (h)</t>
  </si>
  <si>
    <t>RÉCAPITULATIF PAR MEMBRE</t>
  </si>
  <si>
    <t>Membre</t>
  </si>
  <si>
    <t>Rôle</t>
  </si>
  <si>
    <t>Total (h)</t>
  </si>
  <si>
    <t>% Contribution</t>
  </si>
  <si>
    <t>FEUILLE DE TEMPS INDIVIDUELLE</t>
  </si>
  <si>
    <t>Nom :</t>
  </si>
  <si>
    <t>Rôle :</t>
  </si>
  <si>
    <t>Projet :</t>
  </si>
  <si>
    <t>Mnémosyne</t>
  </si>
  <si>
    <t>Période :</t>
  </si>
  <si>
    <t>26/09/2025 → 22/01/2026</t>
  </si>
  <si>
    <t>Date</t>
  </si>
  <si>
    <t>Activité réalisée</t>
  </si>
  <si>
    <t>Durée (h)</t>
  </si>
  <si>
    <t>─── Semaine 01 : 26/09/2025 au 02/10/2025 ───</t>
  </si>
  <si>
    <t>Analyse des besoins fonctionnels</t>
  </si>
  <si>
    <t>─── Semaine 02 : 03/10/2025 au 09/10/2025 ───</t>
  </si>
  <si>
    <t>─── Semaine 03 : 10/10/2025 au 16/10/2025 ───</t>
  </si>
  <si>
    <t>Analyse et spécifications</t>
  </si>
  <si>
    <t>─── Semaine 04 : 17/10/2025 au 23/10/2025 ───</t>
  </si>
  <si>
    <t>Finalisation analyse</t>
  </si>
  <si>
    <t>─── Semaine 05 : 24/10/2025 au 30/10/2025 ───</t>
  </si>
  <si>
    <t>Gestion opérations - suivi progression</t>
  </si>
  <si>
    <t>─── Semaine 06 : 31/10/2025 au 06/11/2025 ───</t>
  </si>
  <si>
    <t>Suivi progression livrables</t>
  </si>
  <si>
    <t>─── Semaine 07 : 07/11/2025 au 13/11/2025 ───</t>
  </si>
  <si>
    <t>Coordination livrables</t>
  </si>
  <si>
    <t>─── Semaine 08 : 14/11/2025 au 20/11/2025 ───</t>
  </si>
  <si>
    <t>Gestion avancement projet</t>
  </si>
  <si>
    <t>─── Semaine 09 : 21/11/2025 au 27/11/2025 ───</t>
  </si>
  <si>
    <t>Interactions clients</t>
  </si>
  <si>
    <t>─── Semaine 10 : 28/11/2025 au 04/12/2025 ───</t>
  </si>
  <si>
    <t>Approbation spécifications</t>
  </si>
  <si>
    <t>─── Semaine 11 : 05/12/2025 au 11/12/2025 ───</t>
  </si>
  <si>
    <t>Réflexion gestion de projet</t>
  </si>
  <si>
    <t>─── Semaine 12 : 12/12/2025 au 18/12/2025 ───</t>
  </si>
  <si>
    <t>Coopération équipe</t>
  </si>
  <si>
    <t>─── Semaine 13 : 19/12/2025 au 25/12/2025 ───</t>
  </si>
  <si>
    <t>Rédaction technique - refonte</t>
  </si>
  <si>
    <t>─── Semaine 14 : 26/12/2025 au 01/01/2026 ───</t>
  </si>
  <si>
    <t>Amélioration performances</t>
  </si>
  <si>
    <t>─── Semaine 15 : 02/01/2026 au 08/01/2026 ───</t>
  </si>
  <si>
    <t>Conception architecture logicielle</t>
  </si>
  <si>
    <t>─── Semaine 16 : 09/01/2026 au 15/01/2026 ───</t>
  </si>
  <si>
    <t>Définition flux de données</t>
  </si>
  <si>
    <t>─── Semaine 17 : 16/01/2026 au 22/01/2026 ───</t>
  </si>
  <si>
    <t>Finalisation architecture</t>
  </si>
  <si>
    <t>TOTAL DES HEURES</t>
  </si>
  <si>
    <t>Réalisation MEA - modélisation complète</t>
  </si>
  <si>
    <t>MEA - représentation étudiants, semestres</t>
  </si>
  <si>
    <t>Traduction MEA en schéma relationnel</t>
  </si>
  <si>
    <t>Vérification cohérence besoins projet</t>
  </si>
  <si>
    <t>Vérification modalités FI/FA, compétences</t>
  </si>
  <si>
    <t>Développement scripts import PHP</t>
  </si>
  <si>
    <t>Scripts PHP - transformation JSON → SQL</t>
  </si>
  <si>
    <t>Import massif via phpMyAdmin</t>
  </si>
  <si>
    <t>Mise en place contraintes unicité</t>
  </si>
  <si>
    <t>Clés étrangères - intégrité données</t>
  </si>
  <si>
    <t>Nettoyage et contrôle qualité</t>
  </si>
  <si>
    <t>Détection incohérences données</t>
  </si>
  <si>
    <t>Correction doublons et anomalies</t>
  </si>
  <si>
    <t>Tests requêtes diagramme Sankey</t>
  </si>
  <si>
    <t>Vérification résultats affichés</t>
  </si>
  <si>
    <t>Développement export PDF Sankey</t>
  </si>
  <si>
    <t>Finalisation export PDF</t>
  </si>
  <si>
    <t>Rédaction MCD - structure BDD</t>
  </si>
  <si>
    <t>MCD - relations entre entités</t>
  </si>
  <si>
    <t>Création base de données</t>
  </si>
  <si>
    <t>Respect MCD et contraintes projet</t>
  </si>
  <si>
    <t>Modification colonnes BDD</t>
  </si>
  <si>
    <t>Ajustement compatibilité JSON</t>
  </si>
  <si>
    <t>Importation fichiers JSON en PHP</t>
  </si>
  <si>
    <t>Automatisation insertion données</t>
  </si>
  <si>
    <t>Requêtes SQL structuration</t>
  </si>
  <si>
    <t>Vérification total étudiants importés</t>
  </si>
  <si>
    <t>Contrôle unicité inscriptions</t>
  </si>
  <si>
    <t>Détection doublons</t>
  </si>
  <si>
    <t>Tests cohérence globale</t>
  </si>
  <si>
    <t>Tests champs obligatoires</t>
  </si>
  <si>
    <t>Tests formats et relations</t>
  </si>
  <si>
    <t>Validation fiabilité données</t>
  </si>
  <si>
    <t>Validation finale</t>
  </si>
  <si>
    <t>Création serveur Discord</t>
  </si>
  <si>
    <t>Organisation canaux Discord</t>
  </si>
  <si>
    <t>Coordination équipe</t>
  </si>
  <si>
    <t>Préparation wireframes</t>
  </si>
  <si>
    <t>Réalisation wireframes - structure pages</t>
  </si>
  <si>
    <t>Réalisation wireframes - visualisation</t>
  </si>
  <si>
    <t>Création maquettes détaillées</t>
  </si>
  <si>
    <t>Conception apparence générale du site</t>
  </si>
  <si>
    <t>Codage HTML/CSS pages principales</t>
  </si>
  <si>
    <t>Codage HTML/CSS pages secondaires</t>
  </si>
  <si>
    <t>Création page de chargement</t>
  </si>
  <si>
    <t>Amélioration page de connexion</t>
  </si>
  <si>
    <t>Adaptation responsive design</t>
  </si>
  <si>
    <t>Section Bilan des compétences</t>
  </si>
  <si>
    <t>Section Décisions de jury</t>
  </si>
  <si>
    <t>Intégration contenus</t>
  </si>
  <si>
    <t>Mise en forme finale</t>
  </si>
  <si>
    <t>Tests et corrections interface</t>
  </si>
  <si>
    <t>Rédaction du Cahier des Charges</t>
  </si>
  <si>
    <t>Gestion de Version GitHub</t>
  </si>
  <si>
    <t>Organisation Documentaire</t>
  </si>
  <si>
    <t>Déploiement AlwaysData</t>
  </si>
  <si>
    <t>Architecture Projet</t>
  </si>
  <si>
    <t>Implémentation Base de Données V1</t>
  </si>
  <si>
    <t>Design UX/UI (script.js)</t>
  </si>
  <si>
    <t>Visualisation Sankey - conception</t>
  </si>
  <si>
    <t>Authentification (auth.php)</t>
  </si>
  <si>
    <t>Administration (admin.php)</t>
  </si>
  <si>
    <t>API endpoints</t>
  </si>
  <si>
    <t>Sankey interactivité</t>
  </si>
  <si>
    <t>Système de Filtres</t>
  </si>
  <si>
    <t>Gestion événements/modales</t>
  </si>
  <si>
    <t>Intégration Front-end ↔ API</t>
  </si>
  <si>
    <t>SYNTHÈSE HEBDOMADAIRE DÉTAILLÉE</t>
  </si>
  <si>
    <t>SEMAINE 01 | 26 septembre 2025 → 2 octobre 2025</t>
  </si>
  <si>
    <t>Fonction</t>
  </si>
  <si>
    <t>Activité principale</t>
  </si>
  <si>
    <t>Heures (h)</t>
  </si>
  <si>
    <t>Réalisation MEA et schéma relationnel</t>
  </si>
  <si>
    <t>Rédaction MCD</t>
  </si>
  <si>
    <t>Communication - Discord</t>
  </si>
  <si>
    <t>Communication et Gestion Projet</t>
  </si>
  <si>
    <t>Total semaine</t>
  </si>
  <si>
    <t>SEMAINE 02 | 3 octobre 2025 → 9 octobre 2025</t>
  </si>
  <si>
    <t>SEMAINE 03 | 10 octobre 2025 → 16 octobre 2025</t>
  </si>
  <si>
    <t>SEMAINE 04 | 17 octobre 2025 → 23 octobre 2025</t>
  </si>
  <si>
    <t>Design et maquettes</t>
  </si>
  <si>
    <t>Conception - BDD, UX/UI, Sankey</t>
  </si>
  <si>
    <t>SEMAINE 05 | 24 octobre 2025 → 30 octobre 2025</t>
  </si>
  <si>
    <t>Gestion des opérations et suivi progression</t>
  </si>
  <si>
    <t>SEMAINE 06 | 31 octobre 2025 → 6 novembre 2025</t>
  </si>
  <si>
    <t>SEMAINE 07 | 7 novembre 2025 → 13 novembre 2025</t>
  </si>
  <si>
    <t>Importation fichiers JSON</t>
  </si>
  <si>
    <t>Visualisation Sankey + Back-End</t>
  </si>
  <si>
    <t>SEMAINE 08 | 14 novembre 2025 → 20 novembre 2025</t>
  </si>
  <si>
    <t>Développement HTML/CSS</t>
  </si>
  <si>
    <t>SEMAINE 09 | 21 novembre 2025 → 27 novembre 2025</t>
  </si>
  <si>
    <t>Interactions clients et approbation</t>
  </si>
  <si>
    <t>Mise en place contraintes intégrité</t>
  </si>
  <si>
    <t>SEMAINE 10 | 28 novembre 2025 → 4 décembre 2025</t>
  </si>
  <si>
    <t>Vérification et contrôle unicité</t>
  </si>
  <si>
    <t>Back-End PHP complet</t>
  </si>
  <si>
    <t>SEMAINE 11 | 5 décembre 2025 → 11 décembre 2025</t>
  </si>
  <si>
    <t>Réflexion gestion projet et coopération</t>
  </si>
  <si>
    <t>Nettoyage et contrôle qualité données</t>
  </si>
  <si>
    <t>SEMAINE 12 | 12 décembre 2025 → 18 décembre 2025</t>
  </si>
  <si>
    <t>SEMAINE 13 | 19 décembre 2025 → 25 décembre 2025</t>
  </si>
  <si>
    <t>Rédaction technique</t>
  </si>
  <si>
    <t>Tests cohérence données</t>
  </si>
  <si>
    <t>Fonctionnalités Bilan/Décisions</t>
  </si>
  <si>
    <t>Front-End JS - Sankey interactif</t>
  </si>
  <si>
    <t>SEMAINE 14 | 26 décembre 2025 → 1 janvier 2026</t>
  </si>
  <si>
    <t>Tests requêtes Sankey</t>
  </si>
  <si>
    <t>SEMAINE 15 | 2 janvier 2026 → 8 janvier 2026</t>
  </si>
  <si>
    <t>SEMAINE 16 | 9 janvier 2026 → 15 janvier 2026</t>
  </si>
  <si>
    <t>Intégration et finalisation</t>
  </si>
  <si>
    <t>SEMAINE 17 | 16 janvier 2026 → 22 janvier 2026</t>
  </si>
  <si>
    <t>PROJET MNÉMOSYNE - RÉPARTITION DES CONTRIBUTIONS</t>
  </si>
  <si>
    <t>Suivi des réalisations par membre de l'équipe</t>
  </si>
  <si>
    <t>Participants</t>
  </si>
  <si>
    <t>Réalisations</t>
  </si>
  <si>
    <t>I. Pilotage Stratégique et Gestion de Projet
Analyse des besoins et planification
    • Audit des besoins : transformer des JSON complexes en outils d'aide à la décision
    • Ajustement du planning selon les difficultés techniques
    • Définition des jalons pour tenir les délais
Relation client
    • Échanges par mail pour clarifier les données ScoDoc
    • Validation des choix de conception avant développement
II. Architecture Technique
Conception
    • Schéma du flux de données : JSON → MySQL
    • Processus de transformation des données brutes
Développement et qualité
    • Hachage des données étudiantes (conformité RGPD)
    • Tests d'intégrité : comparaison imports vs fichiers sources
III. Management d'Équipe
    • Répartition des tâches et suivi d'avancement
    • Google Doc partagé pour centraliser les ressources
    • Bilan des choix techniques pour la maintenabilité future</t>
  </si>
  <si>
    <t>I. Modélisation des Données
    • Réalisation de la MEA (modélisation entité-association) complète pour représenter les étudiants, les semestres, les inscriptions, les décisions de jury et les résultats par compétence
    • Traduction de la MEA en schéma relationnel exploitable
    • Vérification de la cohérence avec les besoins du projet (suivi de cohorte, décisions ADM/RED/AJ, pourcentage de compétences, modalités FI/FA…)
II. Alimentation &amp; Fiabilisation des Données
    • Développement de scripts d'import (PHP) pour transformer automatiquement les fichiers JSON ScoDoc en données SQL propres
    • Import massif des données (version finale) dans la base via phpMyAdmin, en utilisant des requêtes préparées et INSERT IGNORE pour éviter les doublons
    • Mise en place de contraintes d'unicité et de clés étrangères pour garantir l'intégrité des données
    • Nettoyage et contrôle qualité : détection et correction des incohérences (doublons d'inscription, années de jury, décisions manquantes, compensations…)
    • Tests des requêtes utilisées par le diagramme de Sankey afin de vérifier que les résultats affichés correspondent bien à la réalité des données
III. Export &amp; Valorisation des Résultats
    • Ajout d'une fonctionnalité d'export PDF du diagramme de Sankey afin de pouvoir conserver, partager ou intégrer les visualisations dans des rapports et supports de présentation</t>
  </si>
  <si>
    <t>I. Conception de la Base de Données
    • Rédaction du MCD (Modèle Conceptuel de Données) afin de définir la structure de la base de données et les relations entre les entités
    • Création de la base de données en respectant le MCD établi et les contraintes du projet
    • Modification et ajustement des colonnes de la base de données pour assurer la compatibilité avec les fichiers JSON fournis
II. Import et Structuration des Données
    • Importation des fichiers JSON en utilisant le langage PHP pour automatiser l'insertion des données
    • Utilisation de requêtes SQL pour insérer, organiser et structurer correctement les données dans la base de données
III. Vérification et Validation
    • Vérification du nombre total d'étudiants importés afin de s'assurer que toutes les données ont bien été intégrées
    • Contrôle des numéros d'inscription des étudiants pour vérifier l'unicité et éviter les doublons
    • Réalisation de tests pour vérifier la cohérence globale des données (champs obligatoires, formats, relations)
    • Validation de la fiabilité des données stockées après importation et tests</t>
  </si>
  <si>
    <t>1. Communication
•Création et gestion du serveur Discord pour que toute l'équipe puisse bien communiquer 
• Organisation des différents canaux pour séparer les discussions et les fichiers 
• Coordination du travail entre les membres de l'équipe
2. Design et maquettes
• Réalisation des wireframes (croquis) de toutes les pages pour visualiser la structure du site 
• Création des maquettes détaillées avec les couleurs, polices et mise en page finale 
• Conception de l'apparence générale du site pour un rendu cohérent
3. Développement du site
• Codage en HTML/CSS de l'ensemble des pages du site web 
• Création de la page de chargement qui s'affiche au démarrage 
• Amélioration de la page de connexion pour la rendre plus claire et fonctionnelle (base initiale réalisée par Mohamed)
• Adaptation du site pour qu'il s'affiche correctement sur tous les écrans
4. Fonctionnalités particulières
• Développement de la section "Bilan des compétences &amp; Décisions de jury" 
• Intégration et mise en forme des contenus de manière claire et organisée</t>
  </si>
  <si>
    <t>1. Communication et Gestion de Projet
    • Rédaction du Cahier des Charges : Élaboration complète du document de référence, définition des besoins fonctionnels et techniques
    • Gestion de Version (GitHub) : Initialisation du dépôt, gestion des branches, et commits réguliers 
    • Organisation Documentaire : Structuration des fichiers, rédaction des README et de la documentation technique (Discord/Drive)
    • Coordination : Communication régulière de l'avancement à l'équipe et aux tuteurs
    • Déploiement : Configuration et mise en ligne du projet sur le serveur AlwaysData (accès SFTP, configuration BDD) 
    • Architecture Projet : Définition de l'arborescence des fichiers et dossiers (API, Assets, etc.) 
2. Conception et Design
    • Implémentation de la Base de Données (V1) : rédaction du script SQL initial mnemosyne-projet_bdd.sql 
    • Design UX/UI (Script) : Conception de l'interactivité utilisateur via script.js (navigation, filtres, modales) 
    • Visualisation de Données : Conception logique et implémentation du diagramme de Sankey (choix de la librairie Google Charts, logique des flux) 
3. Développement Web
Back-End (PHP) :
    • Authentification (auth.php) : Développement du système de login sécurisé (vérification mot de passe, sessions) 
    • Administration (admin.php) : Extension et finalisation de l'interface d'administration (base initiale réalisée par Mohamed-Yacine), ajouts fonctionnels 
    • API (50%) : Développement majoritaire des endpoints pour récupérer les données (recuperer_donnees_flux.php, recuperer_options.php) et optimisation 
Front-End (JS/DOM) :
    • Logiciel Sankey (script.js) : Ajout de toute l'interactivité (clics, détails étudiants) et des statistiques dynamiques sur la visualisation de base 
    • Système de Filtres : Développement complet de la logique de filtrage (Formations, Années, Régime, Réussite) et de leur gestion dans l'interface 
    • Interactions : Gestion des événements (clics, mode sombre) et des fenêtres modales pour les détails étudiants
    • Intégration : Liaison entre le front-end et l'API PHP (fetchdata)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</si>
</sst>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0" x14ac:knownFonts="1">
    <font>
      <sz val="11"/>
      <color theme="1"/>
      <name val="Calibri"/>
      <family val="2"/>
      <charset val="1"/>
    </font>
    <font>
      <sz val="10"/>
      <name val="Arial"/>
    </font>
    <font>
      <b/>
      <sz val="28"/>
      <color rgb="FF1F4E79"/>
      <name val="Cambria"/>
      <charset val="1"/>
    </font>
    <font>
      <i/>
      <sz val="16"/>
      <color rgb="FF404040"/>
      <name val="Cambria"/>
      <charset val="1"/>
    </font>
    <font>
      <sz val="12"/>
      <name val="Cambria"/>
      <charset val="1"/>
    </font>
    <font>
      <b/>
      <sz val="14"/>
      <color rgb="FF1F4E79"/>
      <name val="Cambria"/>
      <charset val="1"/>
    </font>
    <font>
      <sz val="11"/>
      <color rgb="FFED7D31"/>
      <name val="Cambria"/>
      <charset val="1"/>
    </font>
    <font>
      <b/>
      <sz val="11"/>
      <name val="Cambria"/>
      <charset val="1"/>
    </font>
    <font>
      <i/>
      <sz val="11"/>
      <color rgb="FF404040"/>
      <name val="Cambria"/>
      <charset val="1"/>
    </font>
    <font>
      <b/>
      <sz val="18"/>
      <color rgb="FFFFFFFF"/>
      <name val="Cambria"/>
      <charset val="1"/>
    </font>
    <font>
      <i/>
      <sz val="11"/>
      <color rgb="FFFFFFFF"/>
      <name val="Cambria"/>
      <charset val="1"/>
    </font>
    <font>
      <b/>
      <sz val="9"/>
      <color rgb="FFFFFFFF"/>
      <name val="Cambria"/>
      <charset val="1"/>
    </font>
    <font>
      <b/>
      <sz val="10"/>
      <name val="Cambria"/>
      <charset val="1"/>
    </font>
    <font>
      <sz val="9"/>
      <name val="Cambria"/>
      <charset val="1"/>
    </font>
    <font>
      <b/>
      <sz val="11"/>
      <color rgb="FF1F4E79"/>
      <name val="Cambria"/>
      <charset val="1"/>
    </font>
    <font>
      <b/>
      <sz val="11"/>
      <color rgb="FFFFFFFF"/>
      <name val="Cambria"/>
      <charset val="1"/>
    </font>
    <font>
      <b/>
      <sz val="12"/>
      <color rgb="FF1F4E79"/>
      <name val="Cambria"/>
      <charset val="1"/>
    </font>
    <font>
      <b/>
      <sz val="10"/>
      <color rgb="FFFFFFFF"/>
      <name val="Cambria"/>
      <charset val="1"/>
    </font>
    <font>
      <b/>
      <sz val="16"/>
      <color rgb="FFFFFFFF"/>
      <name val="Cambria"/>
      <charset val="1"/>
    </font>
    <font>
      <i/>
      <sz val="11"/>
      <name val="Cambria"/>
      <charset val="1"/>
    </font>
    <font>
      <b/>
      <sz val="9"/>
      <color rgb="FF1F4E79"/>
      <name val="Cambria"/>
      <charset val="1"/>
    </font>
    <font>
      <b/>
      <sz val="12"/>
      <color rgb="FFFFFFFF"/>
      <name val="Cambria"/>
      <charset val="1"/>
    </font>
    <font>
      <b/>
      <sz val="14"/>
      <color rgb="FFFFFFFF"/>
      <name val="Cambria"/>
      <charset val="1"/>
    </font>
    <font>
      <b/>
      <sz val="9"/>
      <color rgb="FF404040"/>
      <name val="Cambria"/>
      <charset val="1"/>
    </font>
    <font>
      <b/>
      <sz val="9"/>
      <name val="Cambria"/>
      <charset val="1"/>
    </font>
    <font>
      <b/>
      <i/>
      <sz val="9"/>
      <name val="Cambria"/>
      <charset val="1"/>
    </font>
    <font>
      <b/>
      <sz val="16"/>
      <color rgb="FFFFFFFF"/>
      <name val="Arial"/>
    </font>
    <font>
      <i/>
      <sz val="11"/>
      <color rgb="FFFFFFFF"/>
      <name val="Arial"/>
    </font>
    <font>
      <b/>
      <sz val="11"/>
      <color rgb="FFFFFFFF"/>
      <name val="Arial"/>
    </font>
    <font>
      <b/>
      <sz val="10"/>
      <color rgb="FF1F4E79"/>
      <name val="Arial"/>
    </font>
  </fonts>
  <fills count="1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404040"/>
        <bgColor rgb="FF333300"/>
      </patternFill>
    </fill>
    <fill>
      <patternFill patternType="solid">
        <fgColor rgb="FFBDD7EE"/>
        <bgColor rgb="FF99CCFF"/>
      </patternFill>
    </fill>
    <fill>
      <patternFill patternType="solid">
        <fgColor rgb="FFFCE4D6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ED7D31"/>
        <bgColor rgb="FFFF8080"/>
      </patternFill>
    </fill>
    <fill>
      <patternFill patternType="solid">
        <fgColor rgb="FF70AD47"/>
        <bgColor rgb="FF339966"/>
      </patternFill>
    </fill>
    <fill>
      <patternFill patternType="solid">
        <fgColor rgb="FFF2F2F2"/>
        <bgColor rgb="FFE2EFDA"/>
      </patternFill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ED7D31"/>
        <bgColor rgb="FFED7D31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25" fillId="5" borderId="1" xfId="0" applyFont="1" applyFill="1" applyBorder="1" applyAlignment="1">
      <alignment horizontal="right"/>
    </xf>
    <xf numFmtId="0" fontId="15" fillId="9" borderId="0" xfId="0" applyFont="1" applyFill="1" applyAlignment="1">
      <alignment horizontal="left" vertical="center"/>
    </xf>
    <xf numFmtId="0" fontId="21" fillId="2" borderId="2" xfId="0" applyFont="1" applyFill="1" applyBorder="1" applyAlignment="1">
      <alignment horizontal="right" vertical="center"/>
    </xf>
    <xf numFmtId="0" fontId="20" fillId="5" borderId="0" xfId="0" applyFont="1" applyFill="1" applyAlignment="1">
      <alignment horizontal="center"/>
    </xf>
    <xf numFmtId="0" fontId="0" fillId="3" borderId="0" xfId="0" applyFill="1"/>
    <xf numFmtId="0" fontId="18" fillId="2" borderId="0" xfId="0" applyFont="1" applyFill="1" applyAlignment="1">
      <alignment horizontal="center" vertical="center"/>
    </xf>
    <xf numFmtId="0" fontId="16" fillId="0" borderId="0" xfId="0" applyFont="1"/>
    <xf numFmtId="0" fontId="15" fillId="2" borderId="2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11" fillId="4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6" fillId="0" borderId="0" xfId="0" applyFont="1"/>
    <xf numFmtId="0" fontId="17" fillId="9" borderId="1" xfId="0" applyFont="1" applyFill="1" applyBorder="1" applyAlignment="1">
      <alignment horizontal="center" vertical="center"/>
    </xf>
    <xf numFmtId="0" fontId="7" fillId="0" borderId="1" xfId="0" applyFont="1" applyBorder="1"/>
    <xf numFmtId="0" fontId="0" fillId="0" borderId="1" xfId="0" applyBorder="1"/>
    <xf numFmtId="0" fontId="14" fillId="0" borderId="1" xfId="0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2" fillId="0" borderId="0" xfId="0" applyFont="1"/>
    <xf numFmtId="0" fontId="19" fillId="0" borderId="0" xfId="0" applyFont="1"/>
    <xf numFmtId="0" fontId="0" fillId="7" borderId="1" xfId="0" applyFill="1" applyBorder="1" applyAlignment="1">
      <alignment horizontal="center"/>
    </xf>
    <xf numFmtId="0" fontId="0" fillId="7" borderId="1" xfId="0" applyFill="1" applyBorder="1"/>
    <xf numFmtId="0" fontId="7" fillId="6" borderId="1" xfId="0" applyFont="1" applyFill="1" applyBorder="1" applyAlignment="1">
      <alignment horizontal="center"/>
    </xf>
    <xf numFmtId="0" fontId="22" fillId="10" borderId="2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23" fillId="11" borderId="1" xfId="0" applyFont="1" applyFill="1" applyBorder="1" applyAlignment="1">
      <alignment horizontal="center"/>
    </xf>
    <xf numFmtId="0" fontId="24" fillId="8" borderId="1" xfId="0" applyFont="1" applyFill="1" applyBorder="1"/>
    <xf numFmtId="0" fontId="13" fillId="8" borderId="1" xfId="0" applyFont="1" applyFill="1" applyBorder="1"/>
    <xf numFmtId="0" fontId="7" fillId="8" borderId="1" xfId="0" applyFont="1" applyFill="1" applyBorder="1" applyAlignment="1">
      <alignment horizontal="center"/>
    </xf>
    <xf numFmtId="0" fontId="24" fillId="11" borderId="1" xfId="0" applyFont="1" applyFill="1" applyBorder="1"/>
    <xf numFmtId="0" fontId="13" fillId="11" borderId="1" xfId="0" applyFont="1" applyFill="1" applyBorder="1"/>
    <xf numFmtId="0" fontId="7" fillId="11" borderId="1" xfId="0" applyFont="1" applyFill="1" applyBorder="1" applyAlignment="1">
      <alignment horizontal="center"/>
    </xf>
    <xf numFmtId="0" fontId="14" fillId="5" borderId="1" xfId="0" applyFont="1" applyFill="1" applyBorder="1" applyAlignment="1">
      <alignment horizontal="center"/>
    </xf>
    <xf numFmtId="0" fontId="26" fillId="12" borderId="0" xfId="0" applyFont="1" applyFill="1" applyAlignment="1">
      <alignment horizontal="center" vertical="center"/>
    </xf>
    <xf numFmtId="0" fontId="0" fillId="0" borderId="0" xfId="0"/>
    <xf numFmtId="0" fontId="27" fillId="13" borderId="0" xfId="0" applyFont="1" applyFill="1" applyAlignment="1">
      <alignment horizontal="center" vertical="center"/>
    </xf>
    <xf numFmtId="0" fontId="28" fillId="14" borderId="1" xfId="0" applyFont="1" applyFill="1" applyBorder="1" applyAlignment="1">
      <alignment horizontal="center" vertical="center" wrapText="1"/>
    </xf>
    <xf numFmtId="0" fontId="29" fillId="15" borderId="1" xfId="0" applyFont="1" applyFill="1" applyBorder="1" applyAlignment="1">
      <alignment horizontal="left" vertical="top"/>
    </xf>
    <xf numFmtId="0" fontId="1" fillId="15" borderId="1" xfId="0" applyFont="1" applyFill="1" applyBorder="1" applyAlignment="1">
      <alignment horizontal="center" vertical="top"/>
    </xf>
    <xf numFmtId="0" fontId="1" fillId="15" borderId="1" xfId="0" applyFont="1" applyFill="1" applyBorder="1" applyAlignment="1">
      <alignment horizontal="left" vertical="top" wrapText="1"/>
    </xf>
    <xf numFmtId="0" fontId="29" fillId="16" borderId="1" xfId="0" applyFont="1" applyFill="1" applyBorder="1" applyAlignment="1">
      <alignment horizontal="left" vertical="top"/>
    </xf>
    <xf numFmtId="0" fontId="1" fillId="16" borderId="1" xfId="0" applyFont="1" applyFill="1" applyBorder="1" applyAlignment="1">
      <alignment horizontal="center" vertical="top"/>
    </xf>
    <xf numFmtId="0" fontId="1" fillId="16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ED7D31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1F4E7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G18"/>
  <sheetViews>
    <sheetView zoomScaleNormal="100" workbookViewId="0"/>
  </sheetViews>
  <sheetFormatPr baseColWidth="10" defaultColWidth="8.7109375" defaultRowHeight="15" x14ac:dyDescent="0.25"/>
  <cols>
    <col min="1" max="2" width="5" customWidth="1"/>
    <col min="3" max="3" width="30" customWidth="1"/>
    <col min="4" max="4" width="5" customWidth="1"/>
    <col min="5" max="5" width="25" customWidth="1"/>
  </cols>
  <sheetData>
    <row r="3" spans="2:7" ht="34.5" x14ac:dyDescent="0.25">
      <c r="B3" s="13" t="s">
        <v>0</v>
      </c>
      <c r="C3" s="13"/>
      <c r="D3" s="13"/>
      <c r="E3" s="13"/>
      <c r="F3" s="13"/>
      <c r="G3" s="13"/>
    </row>
    <row r="5" spans="2:7" ht="20.25" x14ac:dyDescent="0.3">
      <c r="B5" s="12" t="s">
        <v>1</v>
      </c>
      <c r="C5" s="12"/>
      <c r="D5" s="12"/>
      <c r="E5" s="12"/>
      <c r="F5" s="12"/>
      <c r="G5" s="12"/>
    </row>
    <row r="8" spans="2:7" ht="15.75" x14ac:dyDescent="0.25">
      <c r="B8" s="11" t="s">
        <v>2</v>
      </c>
      <c r="C8" s="11"/>
      <c r="D8" s="11"/>
      <c r="E8" s="11"/>
      <c r="F8" s="11"/>
      <c r="G8" s="11"/>
    </row>
    <row r="9" spans="2:7" ht="15.75" x14ac:dyDescent="0.25">
      <c r="B9" s="11" t="s">
        <v>3</v>
      </c>
      <c r="C9" s="11"/>
      <c r="D9" s="11"/>
      <c r="E9" s="11"/>
      <c r="F9" s="11"/>
      <c r="G9" s="11"/>
    </row>
    <row r="12" spans="2:7" ht="18" x14ac:dyDescent="0.25">
      <c r="B12" s="14" t="s">
        <v>4</v>
      </c>
    </row>
    <row r="14" spans="2:7" x14ac:dyDescent="0.25">
      <c r="B14" s="15" t="s">
        <v>5</v>
      </c>
      <c r="C14" s="16" t="s">
        <v>6</v>
      </c>
      <c r="E14" s="17" t="s">
        <v>7</v>
      </c>
    </row>
    <row r="15" spans="2:7" x14ac:dyDescent="0.25">
      <c r="B15" s="15" t="s">
        <v>5</v>
      </c>
      <c r="C15" s="16" t="s">
        <v>8</v>
      </c>
      <c r="E15" s="17" t="s">
        <v>9</v>
      </c>
    </row>
    <row r="16" spans="2:7" x14ac:dyDescent="0.25">
      <c r="B16" s="15" t="s">
        <v>5</v>
      </c>
      <c r="C16" s="16" t="s">
        <v>10</v>
      </c>
      <c r="E16" s="17" t="s">
        <v>9</v>
      </c>
    </row>
    <row r="17" spans="2:5" x14ac:dyDescent="0.25">
      <c r="B17" s="15" t="s">
        <v>5</v>
      </c>
      <c r="C17" s="16" t="s">
        <v>11</v>
      </c>
      <c r="E17" s="17" t="s">
        <v>12</v>
      </c>
    </row>
    <row r="18" spans="2:5" x14ac:dyDescent="0.25">
      <c r="B18" s="15" t="s">
        <v>5</v>
      </c>
      <c r="C18" s="16" t="s">
        <v>13</v>
      </c>
      <c r="E18" s="17" t="s">
        <v>14</v>
      </c>
    </row>
  </sheetData>
  <mergeCells count="4">
    <mergeCell ref="B3:G3"/>
    <mergeCell ref="B5:G5"/>
    <mergeCell ref="B8:G8"/>
    <mergeCell ref="B9:G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56D79-ACE4-4A1E-9CCC-B5844B65A3A8}">
  <dimension ref="A1:C8"/>
  <sheetViews>
    <sheetView topLeftCell="A7" zoomScale="85" zoomScaleNormal="85" workbookViewId="0">
      <selection activeCell="C4" sqref="C3:C4"/>
    </sheetView>
  </sheetViews>
  <sheetFormatPr baseColWidth="10" defaultRowHeight="15" x14ac:dyDescent="0.25"/>
  <cols>
    <col min="1" max="1" width="19.5703125" customWidth="1"/>
    <col min="2" max="2" width="26" customWidth="1"/>
    <col min="3" max="3" width="110.28515625" customWidth="1"/>
  </cols>
  <sheetData>
    <row r="1" spans="1:3" ht="20.25" x14ac:dyDescent="0.25">
      <c r="A1" s="50" t="s">
        <v>221</v>
      </c>
      <c r="B1" s="51"/>
      <c r="C1" s="51"/>
    </row>
    <row r="2" spans="1:3" x14ac:dyDescent="0.25">
      <c r="A2" s="52" t="s">
        <v>222</v>
      </c>
      <c r="B2" s="51"/>
      <c r="C2" s="51"/>
    </row>
    <row r="3" spans="1:3" ht="30" x14ac:dyDescent="0.25">
      <c r="A3" s="53" t="s">
        <v>223</v>
      </c>
      <c r="B3" s="53" t="s">
        <v>63</v>
      </c>
      <c r="C3" s="53" t="s">
        <v>224</v>
      </c>
    </row>
    <row r="4" spans="1:3" ht="345" customHeight="1" x14ac:dyDescent="0.25">
      <c r="A4" s="54" t="s">
        <v>6</v>
      </c>
      <c r="B4" s="55" t="s">
        <v>7</v>
      </c>
      <c r="C4" s="56" t="s">
        <v>225</v>
      </c>
    </row>
    <row r="5" spans="1:3" ht="409.5" x14ac:dyDescent="0.25">
      <c r="A5" s="57" t="s">
        <v>8</v>
      </c>
      <c r="B5" s="58" t="s">
        <v>62</v>
      </c>
      <c r="C5" s="59" t="s">
        <v>226</v>
      </c>
    </row>
    <row r="6" spans="1:3" ht="409.5" x14ac:dyDescent="0.25">
      <c r="A6" s="54" t="s">
        <v>10</v>
      </c>
      <c r="B6" s="55" t="s">
        <v>62</v>
      </c>
      <c r="C6" s="56" t="s">
        <v>227</v>
      </c>
    </row>
    <row r="7" spans="1:3" ht="310.5" customHeight="1" x14ac:dyDescent="0.25">
      <c r="A7" s="54" t="s">
        <v>11</v>
      </c>
      <c r="B7" s="55" t="s">
        <v>62</v>
      </c>
      <c r="C7" s="56" t="s">
        <v>228</v>
      </c>
    </row>
    <row r="8" spans="1:3" ht="409.5" x14ac:dyDescent="0.25">
      <c r="A8" s="54" t="s">
        <v>13</v>
      </c>
      <c r="B8" s="55" t="s">
        <v>62</v>
      </c>
      <c r="C8" s="56" t="s">
        <v>229</v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1"/>
  <sheetViews>
    <sheetView zoomScaleNormal="100" workbookViewId="0">
      <selection activeCell="F28" sqref="F28"/>
    </sheetView>
  </sheetViews>
  <sheetFormatPr baseColWidth="10" defaultColWidth="8.7109375" defaultRowHeight="15" x14ac:dyDescent="0.25"/>
  <cols>
    <col min="1" max="1" width="8" customWidth="1"/>
    <col min="2" max="2" width="24" customWidth="1"/>
    <col min="3" max="9" width="14" customWidth="1"/>
  </cols>
  <sheetData>
    <row r="1" spans="1:9" ht="39.75" customHeight="1" x14ac:dyDescent="0.25">
      <c r="A1" s="10" t="s">
        <v>15</v>
      </c>
      <c r="B1" s="10"/>
      <c r="C1" s="10"/>
      <c r="D1" s="10"/>
      <c r="E1" s="10"/>
      <c r="F1" s="10"/>
      <c r="G1" s="10"/>
      <c r="H1" s="10"/>
      <c r="I1" s="10"/>
    </row>
    <row r="2" spans="1:9" ht="24.75" customHeight="1" x14ac:dyDescent="0.25">
      <c r="A2" s="9" t="s">
        <v>16</v>
      </c>
      <c r="B2" s="9"/>
      <c r="C2" s="9"/>
      <c r="D2" s="9"/>
      <c r="E2" s="9"/>
      <c r="F2" s="9"/>
      <c r="G2" s="9"/>
      <c r="H2" s="9"/>
      <c r="I2" s="9"/>
    </row>
    <row r="4" spans="1:9" ht="39.75" customHeight="1" x14ac:dyDescent="0.25">
      <c r="A4" s="18" t="s">
        <v>17</v>
      </c>
      <c r="B4" s="18" t="s">
        <v>18</v>
      </c>
      <c r="C4" s="18" t="s">
        <v>19</v>
      </c>
      <c r="D4" s="18" t="s">
        <v>20</v>
      </c>
      <c r="E4" s="18" t="s">
        <v>21</v>
      </c>
      <c r="F4" s="18" t="s">
        <v>22</v>
      </c>
      <c r="G4" s="18" t="s">
        <v>23</v>
      </c>
      <c r="H4" s="18" t="s">
        <v>24</v>
      </c>
      <c r="I4" s="18" t="s">
        <v>25</v>
      </c>
    </row>
    <row r="5" spans="1:9" x14ac:dyDescent="0.25">
      <c r="A5" s="19" t="s">
        <v>26</v>
      </c>
      <c r="B5" s="20" t="s">
        <v>27</v>
      </c>
      <c r="C5" s="21">
        <v>4</v>
      </c>
      <c r="D5" s="21">
        <v>5</v>
      </c>
      <c r="E5" s="21">
        <v>4</v>
      </c>
      <c r="F5" s="21">
        <v>5</v>
      </c>
      <c r="G5" s="21">
        <v>6</v>
      </c>
      <c r="H5" s="22">
        <f t="shared" ref="H5:H21" si="0">SUM(C5:G5)</f>
        <v>24</v>
      </c>
      <c r="I5" s="23">
        <f>H5</f>
        <v>24</v>
      </c>
    </row>
    <row r="6" spans="1:9" x14ac:dyDescent="0.25">
      <c r="A6" s="24" t="s">
        <v>28</v>
      </c>
      <c r="B6" s="25" t="s">
        <v>29</v>
      </c>
      <c r="C6" s="26">
        <v>5</v>
      </c>
      <c r="D6" s="26">
        <v>6</v>
      </c>
      <c r="E6" s="26">
        <v>6</v>
      </c>
      <c r="F6" s="26">
        <v>5</v>
      </c>
      <c r="G6" s="26">
        <v>7</v>
      </c>
      <c r="H6" s="22">
        <f t="shared" si="0"/>
        <v>29</v>
      </c>
      <c r="I6" s="23">
        <f t="shared" ref="I6:I21" si="1">H6+I5</f>
        <v>53</v>
      </c>
    </row>
    <row r="7" spans="1:9" x14ac:dyDescent="0.25">
      <c r="A7" s="19" t="s">
        <v>30</v>
      </c>
      <c r="B7" s="20" t="s">
        <v>31</v>
      </c>
      <c r="C7" s="21">
        <v>5</v>
      </c>
      <c r="D7" s="21">
        <v>6</v>
      </c>
      <c r="E7" s="21">
        <v>4</v>
      </c>
      <c r="F7" s="21">
        <v>6</v>
      </c>
      <c r="G7" s="21">
        <v>6</v>
      </c>
      <c r="H7" s="22">
        <f t="shared" si="0"/>
        <v>27</v>
      </c>
      <c r="I7" s="23">
        <f t="shared" si="1"/>
        <v>80</v>
      </c>
    </row>
    <row r="8" spans="1:9" x14ac:dyDescent="0.25">
      <c r="A8" s="24" t="s">
        <v>32</v>
      </c>
      <c r="B8" s="25" t="s">
        <v>33</v>
      </c>
      <c r="C8" s="26">
        <v>4</v>
      </c>
      <c r="D8" s="26">
        <v>6</v>
      </c>
      <c r="E8" s="26">
        <v>5</v>
      </c>
      <c r="F8" s="26">
        <v>6</v>
      </c>
      <c r="G8" s="26">
        <v>8</v>
      </c>
      <c r="H8" s="22">
        <f t="shared" si="0"/>
        <v>29</v>
      </c>
      <c r="I8" s="23">
        <f t="shared" si="1"/>
        <v>109</v>
      </c>
    </row>
    <row r="9" spans="1:9" x14ac:dyDescent="0.25">
      <c r="A9" s="19" t="s">
        <v>34</v>
      </c>
      <c r="B9" s="20" t="s">
        <v>35</v>
      </c>
      <c r="C9" s="21">
        <v>5</v>
      </c>
      <c r="D9" s="21">
        <v>6</v>
      </c>
      <c r="E9" s="21">
        <v>5</v>
      </c>
      <c r="F9" s="21">
        <v>7</v>
      </c>
      <c r="G9" s="21">
        <v>6</v>
      </c>
      <c r="H9" s="22">
        <f t="shared" si="0"/>
        <v>29</v>
      </c>
      <c r="I9" s="23">
        <f t="shared" si="1"/>
        <v>138</v>
      </c>
    </row>
    <row r="10" spans="1:9" x14ac:dyDescent="0.25">
      <c r="A10" s="24" t="s">
        <v>36</v>
      </c>
      <c r="B10" s="25" t="s">
        <v>37</v>
      </c>
      <c r="C10" s="26">
        <v>4</v>
      </c>
      <c r="D10" s="26">
        <v>6</v>
      </c>
      <c r="E10" s="26">
        <v>5</v>
      </c>
      <c r="F10" s="26">
        <v>6</v>
      </c>
      <c r="G10" s="26">
        <v>6</v>
      </c>
      <c r="H10" s="22">
        <f t="shared" si="0"/>
        <v>27</v>
      </c>
      <c r="I10" s="23">
        <f t="shared" si="1"/>
        <v>165</v>
      </c>
    </row>
    <row r="11" spans="1:9" x14ac:dyDescent="0.25">
      <c r="A11" s="19" t="s">
        <v>38</v>
      </c>
      <c r="B11" s="20" t="s">
        <v>39</v>
      </c>
      <c r="C11" s="21">
        <v>5</v>
      </c>
      <c r="D11" s="21">
        <v>6</v>
      </c>
      <c r="E11" s="21">
        <v>6</v>
      </c>
      <c r="F11" s="21">
        <v>6</v>
      </c>
      <c r="G11" s="21">
        <v>7</v>
      </c>
      <c r="H11" s="22">
        <f t="shared" si="0"/>
        <v>30</v>
      </c>
      <c r="I11" s="23">
        <f t="shared" si="1"/>
        <v>195</v>
      </c>
    </row>
    <row r="12" spans="1:9" x14ac:dyDescent="0.25">
      <c r="A12" s="24" t="s">
        <v>40</v>
      </c>
      <c r="B12" s="25" t="s">
        <v>41</v>
      </c>
      <c r="C12" s="26">
        <v>8</v>
      </c>
      <c r="D12" s="26">
        <v>6</v>
      </c>
      <c r="E12" s="26">
        <v>5</v>
      </c>
      <c r="F12" s="26">
        <v>8</v>
      </c>
      <c r="G12" s="26">
        <v>6</v>
      </c>
      <c r="H12" s="22">
        <f t="shared" si="0"/>
        <v>33</v>
      </c>
      <c r="I12" s="23">
        <f t="shared" si="1"/>
        <v>228</v>
      </c>
    </row>
    <row r="13" spans="1:9" x14ac:dyDescent="0.25">
      <c r="A13" s="19" t="s">
        <v>42</v>
      </c>
      <c r="B13" s="20" t="s">
        <v>43</v>
      </c>
      <c r="C13" s="21">
        <v>5</v>
      </c>
      <c r="D13" s="21">
        <v>8</v>
      </c>
      <c r="E13" s="21">
        <v>4</v>
      </c>
      <c r="F13" s="21">
        <v>6</v>
      </c>
      <c r="G13" s="21">
        <v>6</v>
      </c>
      <c r="H13" s="22">
        <f t="shared" si="0"/>
        <v>29</v>
      </c>
      <c r="I13" s="23">
        <f t="shared" si="1"/>
        <v>257</v>
      </c>
    </row>
    <row r="14" spans="1:9" x14ac:dyDescent="0.25">
      <c r="A14" s="24" t="s">
        <v>44</v>
      </c>
      <c r="B14" s="25" t="s">
        <v>45</v>
      </c>
      <c r="C14" s="26">
        <v>6</v>
      </c>
      <c r="D14" s="26">
        <v>8</v>
      </c>
      <c r="E14" s="26">
        <v>6</v>
      </c>
      <c r="F14" s="26">
        <v>6</v>
      </c>
      <c r="G14" s="26">
        <v>6</v>
      </c>
      <c r="H14" s="22">
        <f t="shared" si="0"/>
        <v>32</v>
      </c>
      <c r="I14" s="23">
        <f t="shared" si="1"/>
        <v>289</v>
      </c>
    </row>
    <row r="15" spans="1:9" x14ac:dyDescent="0.25">
      <c r="A15" s="19" t="s">
        <v>46</v>
      </c>
      <c r="B15" s="20" t="s">
        <v>47</v>
      </c>
      <c r="C15" s="21">
        <v>4</v>
      </c>
      <c r="D15" s="21">
        <v>6</v>
      </c>
      <c r="E15" s="21">
        <v>5</v>
      </c>
      <c r="F15" s="21">
        <v>8</v>
      </c>
      <c r="G15" s="21">
        <v>8</v>
      </c>
      <c r="H15" s="22">
        <f t="shared" si="0"/>
        <v>31</v>
      </c>
      <c r="I15" s="23">
        <f t="shared" si="1"/>
        <v>320</v>
      </c>
    </row>
    <row r="16" spans="1:9" x14ac:dyDescent="0.25">
      <c r="A16" s="24" t="s">
        <v>48</v>
      </c>
      <c r="B16" s="25" t="s">
        <v>49</v>
      </c>
      <c r="C16" s="26">
        <v>5</v>
      </c>
      <c r="D16" s="26">
        <v>6</v>
      </c>
      <c r="E16" s="26">
        <v>7</v>
      </c>
      <c r="F16" s="26">
        <v>6</v>
      </c>
      <c r="G16" s="26">
        <v>6</v>
      </c>
      <c r="H16" s="22">
        <f t="shared" si="0"/>
        <v>30</v>
      </c>
      <c r="I16" s="23">
        <f t="shared" si="1"/>
        <v>350</v>
      </c>
    </row>
    <row r="17" spans="1:9" x14ac:dyDescent="0.25">
      <c r="A17" s="19" t="s">
        <v>50</v>
      </c>
      <c r="B17" s="20" t="s">
        <v>51</v>
      </c>
      <c r="C17" s="21">
        <v>4</v>
      </c>
      <c r="D17" s="21">
        <v>8</v>
      </c>
      <c r="E17" s="21">
        <v>5</v>
      </c>
      <c r="F17" s="21">
        <v>7</v>
      </c>
      <c r="G17" s="21">
        <v>7</v>
      </c>
      <c r="H17" s="22">
        <f t="shared" si="0"/>
        <v>31</v>
      </c>
      <c r="I17" s="23">
        <f t="shared" si="1"/>
        <v>381</v>
      </c>
    </row>
    <row r="18" spans="1:9" x14ac:dyDescent="0.25">
      <c r="A18" s="24" t="s">
        <v>52</v>
      </c>
      <c r="B18" s="25" t="s">
        <v>53</v>
      </c>
      <c r="C18" s="26">
        <v>5</v>
      </c>
      <c r="D18" s="26">
        <v>6</v>
      </c>
      <c r="E18" s="26">
        <v>4</v>
      </c>
      <c r="F18" s="26">
        <v>6</v>
      </c>
      <c r="G18" s="26">
        <v>6</v>
      </c>
      <c r="H18" s="22">
        <f t="shared" si="0"/>
        <v>27</v>
      </c>
      <c r="I18" s="23">
        <f t="shared" si="1"/>
        <v>408</v>
      </c>
    </row>
    <row r="19" spans="1:9" x14ac:dyDescent="0.25">
      <c r="A19" s="19" t="s">
        <v>54</v>
      </c>
      <c r="B19" s="20" t="s">
        <v>55</v>
      </c>
      <c r="C19" s="21">
        <v>6</v>
      </c>
      <c r="D19" s="21">
        <v>7</v>
      </c>
      <c r="E19" s="21">
        <v>7</v>
      </c>
      <c r="F19" s="21">
        <v>7</v>
      </c>
      <c r="G19" s="21">
        <v>8</v>
      </c>
      <c r="H19" s="22">
        <f t="shared" si="0"/>
        <v>35</v>
      </c>
      <c r="I19" s="23">
        <f t="shared" si="1"/>
        <v>443</v>
      </c>
    </row>
    <row r="20" spans="1:9" x14ac:dyDescent="0.25">
      <c r="A20" s="24" t="s">
        <v>56</v>
      </c>
      <c r="B20" s="25" t="s">
        <v>57</v>
      </c>
      <c r="C20" s="26">
        <v>7</v>
      </c>
      <c r="D20" s="26">
        <v>8</v>
      </c>
      <c r="E20" s="26">
        <v>6</v>
      </c>
      <c r="F20" s="26">
        <v>11</v>
      </c>
      <c r="G20" s="26">
        <v>8</v>
      </c>
      <c r="H20" s="22">
        <f t="shared" si="0"/>
        <v>40</v>
      </c>
      <c r="I20" s="23">
        <f t="shared" si="1"/>
        <v>483</v>
      </c>
    </row>
    <row r="21" spans="1:9" x14ac:dyDescent="0.25">
      <c r="A21" s="19" t="s">
        <v>58</v>
      </c>
      <c r="B21" s="20" t="s">
        <v>59</v>
      </c>
      <c r="C21" s="21">
        <v>10</v>
      </c>
      <c r="D21" s="21">
        <v>11</v>
      </c>
      <c r="E21" s="21">
        <v>9</v>
      </c>
      <c r="F21" s="21">
        <v>10</v>
      </c>
      <c r="G21" s="21">
        <v>12</v>
      </c>
      <c r="H21" s="22">
        <f t="shared" si="0"/>
        <v>52</v>
      </c>
      <c r="I21" s="23">
        <f t="shared" si="1"/>
        <v>535</v>
      </c>
    </row>
    <row r="22" spans="1:9" x14ac:dyDescent="0.25">
      <c r="A22" s="8" t="s">
        <v>60</v>
      </c>
      <c r="B22" s="8"/>
      <c r="C22" s="27">
        <f t="shared" ref="C22:I22" si="2">SUM(C5:C21)</f>
        <v>92</v>
      </c>
      <c r="D22" s="27">
        <f t="shared" si="2"/>
        <v>115</v>
      </c>
      <c r="E22" s="27">
        <f t="shared" si="2"/>
        <v>93</v>
      </c>
      <c r="F22" s="27">
        <f>SUM(F5:F21)</f>
        <v>116</v>
      </c>
      <c r="G22" s="27">
        <f t="shared" si="2"/>
        <v>119</v>
      </c>
      <c r="H22" s="27">
        <f t="shared" si="2"/>
        <v>535</v>
      </c>
      <c r="I22" s="27">
        <f t="shared" si="2"/>
        <v>4458</v>
      </c>
    </row>
    <row r="25" spans="1:9" ht="15.75" x14ac:dyDescent="0.25">
      <c r="A25" s="7" t="s">
        <v>61</v>
      </c>
      <c r="B25" s="7"/>
      <c r="C25" s="7"/>
      <c r="D25" s="7"/>
    </row>
    <row r="26" spans="1:9" x14ac:dyDescent="0.25">
      <c r="A26" s="29" t="s">
        <v>62</v>
      </c>
      <c r="B26" s="29" t="s">
        <v>63</v>
      </c>
      <c r="C26" s="29" t="s">
        <v>64</v>
      </c>
      <c r="D26" s="29" t="s">
        <v>65</v>
      </c>
    </row>
    <row r="27" spans="1:9" x14ac:dyDescent="0.25">
      <c r="A27" s="30" t="s">
        <v>6</v>
      </c>
      <c r="B27" s="31" t="s">
        <v>7</v>
      </c>
      <c r="C27" s="32">
        <f>C22</f>
        <v>92</v>
      </c>
      <c r="D27" s="33">
        <f>C27/$H$22</f>
        <v>0.17196261682242991</v>
      </c>
    </row>
    <row r="28" spans="1:9" x14ac:dyDescent="0.25">
      <c r="A28" s="30" t="s">
        <v>8</v>
      </c>
      <c r="B28" s="31" t="s">
        <v>9</v>
      </c>
      <c r="C28" s="32">
        <f>D22</f>
        <v>115</v>
      </c>
      <c r="D28" s="33">
        <f>C28/$H$22</f>
        <v>0.21495327102803738</v>
      </c>
    </row>
    <row r="29" spans="1:9" x14ac:dyDescent="0.25">
      <c r="A29" s="30" t="s">
        <v>10</v>
      </c>
      <c r="B29" s="31" t="s">
        <v>9</v>
      </c>
      <c r="C29" s="32">
        <f>E22</f>
        <v>93</v>
      </c>
      <c r="D29" s="33">
        <f>C29/$H$22</f>
        <v>0.17383177570093458</v>
      </c>
    </row>
    <row r="30" spans="1:9" x14ac:dyDescent="0.25">
      <c r="A30" s="30" t="s">
        <v>11</v>
      </c>
      <c r="B30" s="31" t="s">
        <v>12</v>
      </c>
      <c r="C30" s="32">
        <f>F22</f>
        <v>116</v>
      </c>
      <c r="D30" s="33">
        <f>C30/$H$22</f>
        <v>0.21682242990654205</v>
      </c>
    </row>
    <row r="31" spans="1:9" x14ac:dyDescent="0.25">
      <c r="A31" s="30" t="s">
        <v>13</v>
      </c>
      <c r="B31" s="31" t="s">
        <v>14</v>
      </c>
      <c r="C31" s="32">
        <f>G22</f>
        <v>119</v>
      </c>
      <c r="D31" s="33">
        <f>C31/$H$22</f>
        <v>0.22242990654205608</v>
      </c>
    </row>
  </sheetData>
  <mergeCells count="4">
    <mergeCell ref="A1:I1"/>
    <mergeCell ref="A2:I2"/>
    <mergeCell ref="A22:B22"/>
    <mergeCell ref="A25:D2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3"/>
  <sheetViews>
    <sheetView topLeftCell="A4" zoomScale="115" zoomScaleNormal="115" workbookViewId="0">
      <selection activeCell="B49" sqref="B49"/>
    </sheetView>
  </sheetViews>
  <sheetFormatPr baseColWidth="10" defaultColWidth="8.7109375" defaultRowHeight="15" x14ac:dyDescent="0.25"/>
  <cols>
    <col min="1" max="1" width="12" customWidth="1"/>
    <col min="2" max="2" width="55" customWidth="1"/>
    <col min="3" max="3" width="12" customWidth="1"/>
    <col min="4" max="4" width="20" customWidth="1"/>
  </cols>
  <sheetData>
    <row r="1" spans="1:4" ht="34.5" customHeight="1" x14ac:dyDescent="0.25">
      <c r="A1" s="6" t="s">
        <v>66</v>
      </c>
      <c r="B1" s="6"/>
      <c r="C1" s="6"/>
      <c r="D1" s="6"/>
    </row>
    <row r="3" spans="1:4" ht="15.75" x14ac:dyDescent="0.25">
      <c r="A3" s="34" t="s">
        <v>67</v>
      </c>
      <c r="B3" s="28" t="s">
        <v>6</v>
      </c>
      <c r="C3" s="34" t="s">
        <v>68</v>
      </c>
      <c r="D3" s="35" t="s">
        <v>7</v>
      </c>
    </row>
    <row r="4" spans="1:4" x14ac:dyDescent="0.25">
      <c r="A4" s="34" t="s">
        <v>69</v>
      </c>
      <c r="B4" t="s">
        <v>70</v>
      </c>
      <c r="C4" s="34" t="s">
        <v>71</v>
      </c>
      <c r="D4" t="s">
        <v>72</v>
      </c>
    </row>
    <row r="5" spans="1:4" ht="4.5" customHeight="1" x14ac:dyDescent="0.25">
      <c r="A5" s="5"/>
      <c r="B5" s="5"/>
      <c r="C5" s="5"/>
      <c r="D5" s="5"/>
    </row>
    <row r="7" spans="1:4" ht="24.75" customHeight="1" x14ac:dyDescent="0.25">
      <c r="A7" s="29" t="s">
        <v>73</v>
      </c>
      <c r="B7" s="29" t="s">
        <v>74</v>
      </c>
      <c r="C7" s="29" t="s">
        <v>75</v>
      </c>
    </row>
    <row r="8" spans="1:4" x14ac:dyDescent="0.25">
      <c r="A8" s="4" t="s">
        <v>76</v>
      </c>
      <c r="B8" s="4"/>
      <c r="C8" s="4"/>
    </row>
    <row r="9" spans="1:4" x14ac:dyDescent="0.25">
      <c r="A9" s="36" t="s">
        <v>26</v>
      </c>
      <c r="B9" s="37" t="s">
        <v>77</v>
      </c>
      <c r="C9" s="38">
        <v>4</v>
      </c>
    </row>
    <row r="10" spans="1:4" x14ac:dyDescent="0.25">
      <c r="A10" s="4" t="s">
        <v>78</v>
      </c>
      <c r="B10" s="4"/>
      <c r="C10" s="4"/>
    </row>
    <row r="11" spans="1:4" x14ac:dyDescent="0.25">
      <c r="A11" s="36" t="s">
        <v>28</v>
      </c>
      <c r="B11" s="37" t="s">
        <v>77</v>
      </c>
      <c r="C11" s="38">
        <v>5</v>
      </c>
    </row>
    <row r="12" spans="1:4" x14ac:dyDescent="0.25">
      <c r="A12" s="4" t="s">
        <v>79</v>
      </c>
      <c r="B12" s="4"/>
      <c r="C12" s="4"/>
    </row>
    <row r="13" spans="1:4" x14ac:dyDescent="0.25">
      <c r="A13" s="36" t="s">
        <v>30</v>
      </c>
      <c r="B13" s="37" t="s">
        <v>80</v>
      </c>
      <c r="C13" s="38">
        <v>5</v>
      </c>
    </row>
    <row r="14" spans="1:4" x14ac:dyDescent="0.25">
      <c r="A14" s="4" t="s">
        <v>81</v>
      </c>
      <c r="B14" s="4"/>
      <c r="C14" s="4"/>
    </row>
    <row r="15" spans="1:4" x14ac:dyDescent="0.25">
      <c r="A15" s="36" t="s">
        <v>32</v>
      </c>
      <c r="B15" s="37" t="s">
        <v>82</v>
      </c>
      <c r="C15" s="38">
        <v>4</v>
      </c>
    </row>
    <row r="16" spans="1:4" x14ac:dyDescent="0.25">
      <c r="A16" s="4" t="s">
        <v>83</v>
      </c>
      <c r="B16" s="4"/>
      <c r="C16" s="4"/>
    </row>
    <row r="17" spans="1:3" x14ac:dyDescent="0.25">
      <c r="A17" s="36" t="s">
        <v>34</v>
      </c>
      <c r="B17" s="37" t="s">
        <v>84</v>
      </c>
      <c r="C17" s="38">
        <v>5</v>
      </c>
    </row>
    <row r="18" spans="1:3" x14ac:dyDescent="0.25">
      <c r="A18" s="4" t="s">
        <v>85</v>
      </c>
      <c r="B18" s="4"/>
      <c r="C18" s="4"/>
    </row>
    <row r="19" spans="1:3" x14ac:dyDescent="0.25">
      <c r="A19" s="36" t="s">
        <v>36</v>
      </c>
      <c r="B19" s="37" t="s">
        <v>86</v>
      </c>
      <c r="C19" s="38">
        <v>4</v>
      </c>
    </row>
    <row r="20" spans="1:3" x14ac:dyDescent="0.25">
      <c r="A20" s="4" t="s">
        <v>87</v>
      </c>
      <c r="B20" s="4"/>
      <c r="C20" s="4"/>
    </row>
    <row r="21" spans="1:3" x14ac:dyDescent="0.25">
      <c r="A21" s="36" t="s">
        <v>38</v>
      </c>
      <c r="B21" s="37" t="s">
        <v>88</v>
      </c>
      <c r="C21" s="38">
        <v>5</v>
      </c>
    </row>
    <row r="22" spans="1:3" x14ac:dyDescent="0.25">
      <c r="A22" s="4" t="s">
        <v>89</v>
      </c>
      <c r="B22" s="4"/>
      <c r="C22" s="4"/>
    </row>
    <row r="23" spans="1:3" x14ac:dyDescent="0.25">
      <c r="A23" s="36" t="s">
        <v>40</v>
      </c>
      <c r="B23" s="37" t="s">
        <v>90</v>
      </c>
      <c r="C23" s="38">
        <v>8</v>
      </c>
    </row>
    <row r="24" spans="1:3" x14ac:dyDescent="0.25">
      <c r="A24" s="4" t="s">
        <v>91</v>
      </c>
      <c r="B24" s="4"/>
      <c r="C24" s="4"/>
    </row>
    <row r="25" spans="1:3" x14ac:dyDescent="0.25">
      <c r="A25" s="36" t="s">
        <v>42</v>
      </c>
      <c r="B25" s="37" t="s">
        <v>92</v>
      </c>
      <c r="C25" s="38">
        <v>5</v>
      </c>
    </row>
    <row r="26" spans="1:3" x14ac:dyDescent="0.25">
      <c r="A26" s="4" t="s">
        <v>93</v>
      </c>
      <c r="B26" s="4"/>
      <c r="C26" s="4"/>
    </row>
    <row r="27" spans="1:3" x14ac:dyDescent="0.25">
      <c r="A27" s="36" t="s">
        <v>44</v>
      </c>
      <c r="B27" s="37" t="s">
        <v>94</v>
      </c>
      <c r="C27" s="38">
        <v>6</v>
      </c>
    </row>
    <row r="28" spans="1:3" x14ac:dyDescent="0.25">
      <c r="A28" s="4" t="s">
        <v>95</v>
      </c>
      <c r="B28" s="4"/>
      <c r="C28" s="4"/>
    </row>
    <row r="29" spans="1:3" x14ac:dyDescent="0.25">
      <c r="A29" s="36" t="s">
        <v>46</v>
      </c>
      <c r="B29" s="37" t="s">
        <v>96</v>
      </c>
      <c r="C29" s="38">
        <v>4</v>
      </c>
    </row>
    <row r="30" spans="1:3" x14ac:dyDescent="0.25">
      <c r="A30" s="4" t="s">
        <v>97</v>
      </c>
      <c r="B30" s="4"/>
      <c r="C30" s="4"/>
    </row>
    <row r="31" spans="1:3" x14ac:dyDescent="0.25">
      <c r="A31" s="36" t="s">
        <v>48</v>
      </c>
      <c r="B31" s="37" t="s">
        <v>98</v>
      </c>
      <c r="C31" s="38">
        <v>5</v>
      </c>
    </row>
    <row r="32" spans="1:3" x14ac:dyDescent="0.25">
      <c r="A32" s="4" t="s">
        <v>99</v>
      </c>
      <c r="B32" s="4"/>
      <c r="C32" s="4"/>
    </row>
    <row r="33" spans="1:3" x14ac:dyDescent="0.25">
      <c r="A33" s="36" t="s">
        <v>50</v>
      </c>
      <c r="B33" s="37" t="s">
        <v>100</v>
      </c>
      <c r="C33" s="38">
        <v>4</v>
      </c>
    </row>
    <row r="34" spans="1:3" x14ac:dyDescent="0.25">
      <c r="A34" s="4" t="s">
        <v>101</v>
      </c>
      <c r="B34" s="4"/>
      <c r="C34" s="4"/>
    </row>
    <row r="35" spans="1:3" x14ac:dyDescent="0.25">
      <c r="A35" s="36" t="s">
        <v>52</v>
      </c>
      <c r="B35" s="37" t="s">
        <v>102</v>
      </c>
      <c r="C35" s="38">
        <v>5</v>
      </c>
    </row>
    <row r="36" spans="1:3" x14ac:dyDescent="0.25">
      <c r="A36" s="4" t="s">
        <v>103</v>
      </c>
      <c r="B36" s="4"/>
      <c r="C36" s="4"/>
    </row>
    <row r="37" spans="1:3" x14ac:dyDescent="0.25">
      <c r="A37" s="36" t="s">
        <v>54</v>
      </c>
      <c r="B37" s="37" t="s">
        <v>104</v>
      </c>
      <c r="C37" s="38">
        <v>6</v>
      </c>
    </row>
    <row r="38" spans="1:3" x14ac:dyDescent="0.25">
      <c r="A38" s="4" t="s">
        <v>105</v>
      </c>
      <c r="B38" s="4"/>
      <c r="C38" s="4"/>
    </row>
    <row r="39" spans="1:3" x14ac:dyDescent="0.25">
      <c r="A39" s="36" t="s">
        <v>56</v>
      </c>
      <c r="B39" s="37" t="s">
        <v>106</v>
      </c>
      <c r="C39" s="38">
        <v>7</v>
      </c>
    </row>
    <row r="40" spans="1:3" x14ac:dyDescent="0.25">
      <c r="A40" s="4" t="s">
        <v>107</v>
      </c>
      <c r="B40" s="4"/>
      <c r="C40" s="4"/>
    </row>
    <row r="41" spans="1:3" x14ac:dyDescent="0.25">
      <c r="A41" s="36" t="s">
        <v>58</v>
      </c>
      <c r="B41" s="37" t="s">
        <v>108</v>
      </c>
      <c r="C41" s="38">
        <v>10</v>
      </c>
    </row>
    <row r="43" spans="1:3" ht="18" x14ac:dyDescent="0.25">
      <c r="A43" s="3" t="s">
        <v>109</v>
      </c>
      <c r="B43" s="3"/>
      <c r="C43" s="39">
        <f>SUM(C8:C41)</f>
        <v>92</v>
      </c>
    </row>
  </sheetData>
  <mergeCells count="20">
    <mergeCell ref="A34:C34"/>
    <mergeCell ref="A36:C36"/>
    <mergeCell ref="A38:C38"/>
    <mergeCell ref="A40:C40"/>
    <mergeCell ref="A43:B43"/>
    <mergeCell ref="A24:C24"/>
    <mergeCell ref="A26:C26"/>
    <mergeCell ref="A28:C28"/>
    <mergeCell ref="A30:C30"/>
    <mergeCell ref="A32:C32"/>
    <mergeCell ref="A14:C14"/>
    <mergeCell ref="A16:C16"/>
    <mergeCell ref="A18:C18"/>
    <mergeCell ref="A20:C20"/>
    <mergeCell ref="A22:C22"/>
    <mergeCell ref="A1:D1"/>
    <mergeCell ref="A5:D5"/>
    <mergeCell ref="A8:C8"/>
    <mergeCell ref="A10:C10"/>
    <mergeCell ref="A12:C1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3"/>
  <sheetViews>
    <sheetView zoomScaleNormal="100" workbookViewId="0">
      <selection activeCell="B49" sqref="B49"/>
    </sheetView>
  </sheetViews>
  <sheetFormatPr baseColWidth="10" defaultColWidth="8.7109375" defaultRowHeight="15" x14ac:dyDescent="0.25"/>
  <cols>
    <col min="1" max="1" width="12" customWidth="1"/>
    <col min="2" max="2" width="55" customWidth="1"/>
    <col min="3" max="3" width="12" customWidth="1"/>
    <col min="4" max="4" width="20" customWidth="1"/>
  </cols>
  <sheetData>
    <row r="1" spans="1:4" ht="34.5" customHeight="1" x14ac:dyDescent="0.25">
      <c r="A1" s="6" t="s">
        <v>66</v>
      </c>
      <c r="B1" s="6"/>
      <c r="C1" s="6"/>
      <c r="D1" s="6"/>
    </row>
    <row r="3" spans="1:4" ht="15.75" x14ac:dyDescent="0.25">
      <c r="A3" s="34" t="s">
        <v>67</v>
      </c>
      <c r="B3" s="28" t="s">
        <v>8</v>
      </c>
      <c r="C3" s="34" t="s">
        <v>68</v>
      </c>
      <c r="D3" s="35" t="s">
        <v>9</v>
      </c>
    </row>
    <row r="4" spans="1:4" x14ac:dyDescent="0.25">
      <c r="A4" s="34" t="s">
        <v>69</v>
      </c>
      <c r="B4" t="s">
        <v>70</v>
      </c>
      <c r="C4" s="34" t="s">
        <v>71</v>
      </c>
      <c r="D4" t="s">
        <v>72</v>
      </c>
    </row>
    <row r="5" spans="1:4" ht="4.5" customHeight="1" x14ac:dyDescent="0.25">
      <c r="A5" s="5"/>
      <c r="B5" s="5"/>
      <c r="C5" s="5"/>
      <c r="D5" s="5"/>
    </row>
    <row r="7" spans="1:4" ht="24.75" customHeight="1" x14ac:dyDescent="0.25">
      <c r="A7" s="29" t="s">
        <v>73</v>
      </c>
      <c r="B7" s="29" t="s">
        <v>74</v>
      </c>
      <c r="C7" s="29" t="s">
        <v>75</v>
      </c>
    </row>
    <row r="8" spans="1:4" x14ac:dyDescent="0.25">
      <c r="A8" s="4" t="s">
        <v>76</v>
      </c>
      <c r="B8" s="4"/>
      <c r="C8" s="4"/>
    </row>
    <row r="9" spans="1:4" x14ac:dyDescent="0.25">
      <c r="A9" s="36" t="s">
        <v>26</v>
      </c>
      <c r="B9" s="37" t="s">
        <v>110</v>
      </c>
      <c r="C9" s="38">
        <v>5</v>
      </c>
    </row>
    <row r="10" spans="1:4" x14ac:dyDescent="0.25">
      <c r="A10" s="4" t="s">
        <v>78</v>
      </c>
      <c r="B10" s="4"/>
      <c r="C10" s="4"/>
    </row>
    <row r="11" spans="1:4" x14ac:dyDescent="0.25">
      <c r="A11" s="36" t="s">
        <v>28</v>
      </c>
      <c r="B11" s="37" t="s">
        <v>111</v>
      </c>
      <c r="C11" s="38">
        <v>6</v>
      </c>
    </row>
    <row r="12" spans="1:4" x14ac:dyDescent="0.25">
      <c r="A12" s="4" t="s">
        <v>79</v>
      </c>
      <c r="B12" s="4"/>
      <c r="C12" s="4"/>
    </row>
    <row r="13" spans="1:4" x14ac:dyDescent="0.25">
      <c r="A13" s="36" t="s">
        <v>30</v>
      </c>
      <c r="B13" s="37" t="s">
        <v>112</v>
      </c>
      <c r="C13" s="38">
        <v>6</v>
      </c>
    </row>
    <row r="14" spans="1:4" x14ac:dyDescent="0.25">
      <c r="A14" s="4" t="s">
        <v>81</v>
      </c>
      <c r="B14" s="4"/>
      <c r="C14" s="4"/>
    </row>
    <row r="15" spans="1:4" x14ac:dyDescent="0.25">
      <c r="A15" s="36" t="s">
        <v>32</v>
      </c>
      <c r="B15" s="37" t="s">
        <v>113</v>
      </c>
      <c r="C15" s="38">
        <v>6</v>
      </c>
    </row>
    <row r="16" spans="1:4" x14ac:dyDescent="0.25">
      <c r="A16" s="4" t="s">
        <v>83</v>
      </c>
      <c r="B16" s="4"/>
      <c r="C16" s="4"/>
    </row>
    <row r="17" spans="1:3" x14ac:dyDescent="0.25">
      <c r="A17" s="36" t="s">
        <v>34</v>
      </c>
      <c r="B17" s="37" t="s">
        <v>114</v>
      </c>
      <c r="C17" s="38">
        <v>6</v>
      </c>
    </row>
    <row r="18" spans="1:3" x14ac:dyDescent="0.25">
      <c r="A18" s="4" t="s">
        <v>85</v>
      </c>
      <c r="B18" s="4"/>
      <c r="C18" s="4"/>
    </row>
    <row r="19" spans="1:3" x14ac:dyDescent="0.25">
      <c r="A19" s="36" t="s">
        <v>36</v>
      </c>
      <c r="B19" s="37" t="s">
        <v>115</v>
      </c>
      <c r="C19" s="38">
        <v>6</v>
      </c>
    </row>
    <row r="20" spans="1:3" x14ac:dyDescent="0.25">
      <c r="A20" s="4" t="s">
        <v>87</v>
      </c>
      <c r="B20" s="4"/>
      <c r="C20" s="4"/>
    </row>
    <row r="21" spans="1:3" x14ac:dyDescent="0.25">
      <c r="A21" s="36" t="s">
        <v>38</v>
      </c>
      <c r="B21" s="37" t="s">
        <v>116</v>
      </c>
      <c r="C21" s="38">
        <v>6</v>
      </c>
    </row>
    <row r="22" spans="1:3" x14ac:dyDescent="0.25">
      <c r="A22" s="4" t="s">
        <v>89</v>
      </c>
      <c r="B22" s="4"/>
      <c r="C22" s="4"/>
    </row>
    <row r="23" spans="1:3" x14ac:dyDescent="0.25">
      <c r="A23" s="36" t="s">
        <v>40</v>
      </c>
      <c r="B23" s="37" t="s">
        <v>117</v>
      </c>
      <c r="C23" s="38">
        <v>6</v>
      </c>
    </row>
    <row r="24" spans="1:3" x14ac:dyDescent="0.25">
      <c r="A24" s="4" t="s">
        <v>91</v>
      </c>
      <c r="B24" s="4"/>
      <c r="C24" s="4"/>
    </row>
    <row r="25" spans="1:3" x14ac:dyDescent="0.25">
      <c r="A25" s="36" t="s">
        <v>42</v>
      </c>
      <c r="B25" s="37" t="s">
        <v>118</v>
      </c>
      <c r="C25" s="38">
        <v>8</v>
      </c>
    </row>
    <row r="26" spans="1:3" x14ac:dyDescent="0.25">
      <c r="A26" s="4" t="s">
        <v>93</v>
      </c>
      <c r="B26" s="4"/>
      <c r="C26" s="4"/>
    </row>
    <row r="27" spans="1:3" x14ac:dyDescent="0.25">
      <c r="A27" s="36" t="s">
        <v>44</v>
      </c>
      <c r="B27" s="37" t="s">
        <v>119</v>
      </c>
      <c r="C27" s="38">
        <v>8</v>
      </c>
    </row>
    <row r="28" spans="1:3" x14ac:dyDescent="0.25">
      <c r="A28" s="4" t="s">
        <v>95</v>
      </c>
      <c r="B28" s="4"/>
      <c r="C28" s="4"/>
    </row>
    <row r="29" spans="1:3" x14ac:dyDescent="0.25">
      <c r="A29" s="36" t="s">
        <v>46</v>
      </c>
      <c r="B29" s="37" t="s">
        <v>120</v>
      </c>
      <c r="C29" s="38">
        <v>6</v>
      </c>
    </row>
    <row r="30" spans="1:3" x14ac:dyDescent="0.25">
      <c r="A30" s="4" t="s">
        <v>97</v>
      </c>
      <c r="B30" s="4"/>
      <c r="C30" s="4"/>
    </row>
    <row r="31" spans="1:3" x14ac:dyDescent="0.25">
      <c r="A31" s="36" t="s">
        <v>48</v>
      </c>
      <c r="B31" s="37" t="s">
        <v>121</v>
      </c>
      <c r="C31" s="38">
        <v>6</v>
      </c>
    </row>
    <row r="32" spans="1:3" x14ac:dyDescent="0.25">
      <c r="A32" s="4" t="s">
        <v>99</v>
      </c>
      <c r="B32" s="4"/>
      <c r="C32" s="4"/>
    </row>
    <row r="33" spans="1:3" x14ac:dyDescent="0.25">
      <c r="A33" s="36" t="s">
        <v>50</v>
      </c>
      <c r="B33" s="37" t="s">
        <v>122</v>
      </c>
      <c r="C33" s="38">
        <v>8</v>
      </c>
    </row>
    <row r="34" spans="1:3" x14ac:dyDescent="0.25">
      <c r="A34" s="4" t="s">
        <v>101</v>
      </c>
      <c r="B34" s="4"/>
      <c r="C34" s="4"/>
    </row>
    <row r="35" spans="1:3" x14ac:dyDescent="0.25">
      <c r="A35" s="36" t="s">
        <v>52</v>
      </c>
      <c r="B35" s="37" t="s">
        <v>123</v>
      </c>
      <c r="C35" s="38">
        <v>6</v>
      </c>
    </row>
    <row r="36" spans="1:3" x14ac:dyDescent="0.25">
      <c r="A36" s="4" t="s">
        <v>103</v>
      </c>
      <c r="B36" s="4"/>
      <c r="C36" s="4"/>
    </row>
    <row r="37" spans="1:3" x14ac:dyDescent="0.25">
      <c r="A37" s="36" t="s">
        <v>54</v>
      </c>
      <c r="B37" s="37" t="s">
        <v>124</v>
      </c>
      <c r="C37" s="38">
        <v>7</v>
      </c>
    </row>
    <row r="38" spans="1:3" x14ac:dyDescent="0.25">
      <c r="A38" s="4" t="s">
        <v>105</v>
      </c>
      <c r="B38" s="4"/>
      <c r="C38" s="4"/>
    </row>
    <row r="39" spans="1:3" x14ac:dyDescent="0.25">
      <c r="A39" s="36" t="s">
        <v>56</v>
      </c>
      <c r="B39" s="37" t="s">
        <v>125</v>
      </c>
      <c r="C39" s="38">
        <v>8</v>
      </c>
    </row>
    <row r="40" spans="1:3" x14ac:dyDescent="0.25">
      <c r="A40" s="4" t="s">
        <v>107</v>
      </c>
      <c r="B40" s="4"/>
      <c r="C40" s="4"/>
    </row>
    <row r="41" spans="1:3" x14ac:dyDescent="0.25">
      <c r="A41" s="36" t="s">
        <v>58</v>
      </c>
      <c r="B41" s="37" t="s">
        <v>126</v>
      </c>
      <c r="C41" s="38">
        <v>11</v>
      </c>
    </row>
    <row r="43" spans="1:3" ht="18" x14ac:dyDescent="0.25">
      <c r="A43" s="3" t="s">
        <v>109</v>
      </c>
      <c r="B43" s="3"/>
      <c r="C43" s="39">
        <f>SUM(C8:C41)</f>
        <v>115</v>
      </c>
    </row>
  </sheetData>
  <mergeCells count="20">
    <mergeCell ref="A34:C34"/>
    <mergeCell ref="A36:C36"/>
    <mergeCell ref="A38:C38"/>
    <mergeCell ref="A40:C40"/>
    <mergeCell ref="A43:B43"/>
    <mergeCell ref="A24:C24"/>
    <mergeCell ref="A26:C26"/>
    <mergeCell ref="A28:C28"/>
    <mergeCell ref="A30:C30"/>
    <mergeCell ref="A32:C32"/>
    <mergeCell ref="A14:C14"/>
    <mergeCell ref="A16:C16"/>
    <mergeCell ref="A18:C18"/>
    <mergeCell ref="A20:C20"/>
    <mergeCell ref="A22:C22"/>
    <mergeCell ref="A1:D1"/>
    <mergeCell ref="A5:D5"/>
    <mergeCell ref="A8:C8"/>
    <mergeCell ref="A10:C10"/>
    <mergeCell ref="A12:C1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3"/>
  <sheetViews>
    <sheetView zoomScaleNormal="100" workbookViewId="0">
      <selection activeCell="A46" sqref="A46:XFD46"/>
    </sheetView>
  </sheetViews>
  <sheetFormatPr baseColWidth="10" defaultColWidth="8.7109375" defaultRowHeight="15" x14ac:dyDescent="0.25"/>
  <cols>
    <col min="1" max="1" width="12" customWidth="1"/>
    <col min="2" max="2" width="55" customWidth="1"/>
    <col min="3" max="3" width="12" customWidth="1"/>
    <col min="4" max="4" width="20" customWidth="1"/>
  </cols>
  <sheetData>
    <row r="1" spans="1:4" ht="34.5" customHeight="1" x14ac:dyDescent="0.25">
      <c r="A1" s="6" t="s">
        <v>66</v>
      </c>
      <c r="B1" s="6"/>
      <c r="C1" s="6"/>
      <c r="D1" s="6"/>
    </row>
    <row r="3" spans="1:4" ht="15.75" x14ac:dyDescent="0.25">
      <c r="A3" s="34" t="s">
        <v>67</v>
      </c>
      <c r="B3" s="28" t="s">
        <v>10</v>
      </c>
      <c r="C3" s="34" t="s">
        <v>68</v>
      </c>
      <c r="D3" s="35" t="s">
        <v>9</v>
      </c>
    </row>
    <row r="4" spans="1:4" x14ac:dyDescent="0.25">
      <c r="A4" s="34" t="s">
        <v>69</v>
      </c>
      <c r="B4" t="s">
        <v>70</v>
      </c>
      <c r="C4" s="34" t="s">
        <v>71</v>
      </c>
      <c r="D4" t="s">
        <v>72</v>
      </c>
    </row>
    <row r="5" spans="1:4" ht="4.5" customHeight="1" x14ac:dyDescent="0.25">
      <c r="A5" s="5"/>
      <c r="B5" s="5"/>
      <c r="C5" s="5"/>
      <c r="D5" s="5"/>
    </row>
    <row r="7" spans="1:4" ht="24.75" customHeight="1" x14ac:dyDescent="0.25">
      <c r="A7" s="29" t="s">
        <v>73</v>
      </c>
      <c r="B7" s="29" t="s">
        <v>74</v>
      </c>
      <c r="C7" s="29" t="s">
        <v>75</v>
      </c>
    </row>
    <row r="8" spans="1:4" x14ac:dyDescent="0.25">
      <c r="A8" s="4" t="s">
        <v>76</v>
      </c>
      <c r="B8" s="4"/>
      <c r="C8" s="4"/>
    </row>
    <row r="9" spans="1:4" x14ac:dyDescent="0.25">
      <c r="A9" s="36" t="s">
        <v>26</v>
      </c>
      <c r="B9" s="37" t="s">
        <v>127</v>
      </c>
      <c r="C9" s="38">
        <v>4</v>
      </c>
    </row>
    <row r="10" spans="1:4" x14ac:dyDescent="0.25">
      <c r="A10" s="4" t="s">
        <v>78</v>
      </c>
      <c r="B10" s="4"/>
      <c r="C10" s="4"/>
    </row>
    <row r="11" spans="1:4" x14ac:dyDescent="0.25">
      <c r="A11" s="36" t="s">
        <v>28</v>
      </c>
      <c r="B11" s="37" t="s">
        <v>128</v>
      </c>
      <c r="C11" s="38">
        <v>6</v>
      </c>
    </row>
    <row r="12" spans="1:4" x14ac:dyDescent="0.25">
      <c r="A12" s="4" t="s">
        <v>79</v>
      </c>
      <c r="B12" s="4"/>
      <c r="C12" s="4"/>
    </row>
    <row r="13" spans="1:4" x14ac:dyDescent="0.25">
      <c r="A13" s="36" t="s">
        <v>30</v>
      </c>
      <c r="B13" s="37" t="s">
        <v>129</v>
      </c>
      <c r="C13" s="38">
        <v>4</v>
      </c>
    </row>
    <row r="14" spans="1:4" x14ac:dyDescent="0.25">
      <c r="A14" s="4" t="s">
        <v>81</v>
      </c>
      <c r="B14" s="4"/>
      <c r="C14" s="4"/>
    </row>
    <row r="15" spans="1:4" x14ac:dyDescent="0.25">
      <c r="A15" s="36" t="s">
        <v>32</v>
      </c>
      <c r="B15" s="37" t="s">
        <v>130</v>
      </c>
      <c r="C15" s="38">
        <v>5</v>
      </c>
    </row>
    <row r="16" spans="1:4" x14ac:dyDescent="0.25">
      <c r="A16" s="4" t="s">
        <v>83</v>
      </c>
      <c r="B16" s="4"/>
      <c r="C16" s="4"/>
    </row>
    <row r="17" spans="1:3" x14ac:dyDescent="0.25">
      <c r="A17" s="36" t="s">
        <v>34</v>
      </c>
      <c r="B17" s="37" t="s">
        <v>131</v>
      </c>
      <c r="C17" s="38">
        <v>5</v>
      </c>
    </row>
    <row r="18" spans="1:3" x14ac:dyDescent="0.25">
      <c r="A18" s="4" t="s">
        <v>85</v>
      </c>
      <c r="B18" s="4"/>
      <c r="C18" s="4"/>
    </row>
    <row r="19" spans="1:3" x14ac:dyDescent="0.25">
      <c r="A19" s="36" t="s">
        <v>36</v>
      </c>
      <c r="B19" s="37" t="s">
        <v>132</v>
      </c>
      <c r="C19" s="38">
        <v>5</v>
      </c>
    </row>
    <row r="20" spans="1:3" x14ac:dyDescent="0.25">
      <c r="A20" s="4" t="s">
        <v>87</v>
      </c>
      <c r="B20" s="4"/>
      <c r="C20" s="4"/>
    </row>
    <row r="21" spans="1:3" x14ac:dyDescent="0.25">
      <c r="A21" s="36" t="s">
        <v>38</v>
      </c>
      <c r="B21" s="37" t="s">
        <v>133</v>
      </c>
      <c r="C21" s="38">
        <v>6</v>
      </c>
    </row>
    <row r="22" spans="1:3" x14ac:dyDescent="0.25">
      <c r="A22" s="4" t="s">
        <v>89</v>
      </c>
      <c r="B22" s="4"/>
      <c r="C22" s="4"/>
    </row>
    <row r="23" spans="1:3" x14ac:dyDescent="0.25">
      <c r="A23" s="36" t="s">
        <v>40</v>
      </c>
      <c r="B23" s="37" t="s">
        <v>134</v>
      </c>
      <c r="C23" s="38">
        <v>5</v>
      </c>
    </row>
    <row r="24" spans="1:3" x14ac:dyDescent="0.25">
      <c r="A24" s="4" t="s">
        <v>91</v>
      </c>
      <c r="B24" s="4"/>
      <c r="C24" s="4"/>
    </row>
    <row r="25" spans="1:3" x14ac:dyDescent="0.25">
      <c r="A25" s="36" t="s">
        <v>42</v>
      </c>
      <c r="B25" s="37" t="s">
        <v>135</v>
      </c>
      <c r="C25" s="38">
        <v>4</v>
      </c>
    </row>
    <row r="26" spans="1:3" x14ac:dyDescent="0.25">
      <c r="A26" s="4" t="s">
        <v>93</v>
      </c>
      <c r="B26" s="4"/>
      <c r="C26" s="4"/>
    </row>
    <row r="27" spans="1:3" x14ac:dyDescent="0.25">
      <c r="A27" s="36" t="s">
        <v>44</v>
      </c>
      <c r="B27" s="37" t="s">
        <v>136</v>
      </c>
      <c r="C27" s="38">
        <v>6</v>
      </c>
    </row>
    <row r="28" spans="1:3" x14ac:dyDescent="0.25">
      <c r="A28" s="4" t="s">
        <v>95</v>
      </c>
      <c r="B28" s="4"/>
      <c r="C28" s="4"/>
    </row>
    <row r="29" spans="1:3" x14ac:dyDescent="0.25">
      <c r="A29" s="36" t="s">
        <v>46</v>
      </c>
      <c r="B29" s="37" t="s">
        <v>137</v>
      </c>
      <c r="C29" s="38">
        <v>5</v>
      </c>
    </row>
    <row r="30" spans="1:3" x14ac:dyDescent="0.25">
      <c r="A30" s="4" t="s">
        <v>97</v>
      </c>
      <c r="B30" s="4"/>
      <c r="C30" s="4"/>
    </row>
    <row r="31" spans="1:3" x14ac:dyDescent="0.25">
      <c r="A31" s="36" t="s">
        <v>48</v>
      </c>
      <c r="B31" s="37" t="s">
        <v>138</v>
      </c>
      <c r="C31" s="38">
        <v>7</v>
      </c>
    </row>
    <row r="32" spans="1:3" x14ac:dyDescent="0.25">
      <c r="A32" s="4" t="s">
        <v>99</v>
      </c>
      <c r="B32" s="4"/>
      <c r="C32" s="4"/>
    </row>
    <row r="33" spans="1:3" x14ac:dyDescent="0.25">
      <c r="A33" s="36" t="s">
        <v>50</v>
      </c>
      <c r="B33" s="37" t="s">
        <v>139</v>
      </c>
      <c r="C33" s="38">
        <v>5</v>
      </c>
    </row>
    <row r="34" spans="1:3" x14ac:dyDescent="0.25">
      <c r="A34" s="4" t="s">
        <v>101</v>
      </c>
      <c r="B34" s="4"/>
      <c r="C34" s="4"/>
    </row>
    <row r="35" spans="1:3" x14ac:dyDescent="0.25">
      <c r="A35" s="36" t="s">
        <v>52</v>
      </c>
      <c r="B35" s="37" t="s">
        <v>140</v>
      </c>
      <c r="C35" s="38">
        <v>4</v>
      </c>
    </row>
    <row r="36" spans="1:3" x14ac:dyDescent="0.25">
      <c r="A36" s="4" t="s">
        <v>103</v>
      </c>
      <c r="B36" s="4"/>
      <c r="C36" s="4"/>
    </row>
    <row r="37" spans="1:3" x14ac:dyDescent="0.25">
      <c r="A37" s="36" t="s">
        <v>54</v>
      </c>
      <c r="B37" s="37" t="s">
        <v>141</v>
      </c>
      <c r="C37" s="38">
        <v>7</v>
      </c>
    </row>
    <row r="38" spans="1:3" x14ac:dyDescent="0.25">
      <c r="A38" s="4" t="s">
        <v>105</v>
      </c>
      <c r="B38" s="4"/>
      <c r="C38" s="4"/>
    </row>
    <row r="39" spans="1:3" x14ac:dyDescent="0.25">
      <c r="A39" s="36" t="s">
        <v>56</v>
      </c>
      <c r="B39" s="37" t="s">
        <v>142</v>
      </c>
      <c r="C39" s="38">
        <v>6</v>
      </c>
    </row>
    <row r="40" spans="1:3" x14ac:dyDescent="0.25">
      <c r="A40" s="4" t="s">
        <v>107</v>
      </c>
      <c r="B40" s="4"/>
      <c r="C40" s="4"/>
    </row>
    <row r="41" spans="1:3" x14ac:dyDescent="0.25">
      <c r="A41" s="36" t="s">
        <v>58</v>
      </c>
      <c r="B41" s="37" t="s">
        <v>143</v>
      </c>
      <c r="C41" s="38">
        <v>9</v>
      </c>
    </row>
    <row r="43" spans="1:3" ht="18" x14ac:dyDescent="0.25">
      <c r="A43" s="3" t="s">
        <v>109</v>
      </c>
      <c r="B43" s="3"/>
      <c r="C43" s="39">
        <f>SUM(C8:C41)</f>
        <v>93</v>
      </c>
    </row>
  </sheetData>
  <mergeCells count="20">
    <mergeCell ref="A34:C34"/>
    <mergeCell ref="A36:C36"/>
    <mergeCell ref="A38:C38"/>
    <mergeCell ref="A40:C40"/>
    <mergeCell ref="A43:B43"/>
    <mergeCell ref="A24:C24"/>
    <mergeCell ref="A26:C26"/>
    <mergeCell ref="A28:C28"/>
    <mergeCell ref="A30:C30"/>
    <mergeCell ref="A32:C32"/>
    <mergeCell ref="A14:C14"/>
    <mergeCell ref="A16:C16"/>
    <mergeCell ref="A18:C18"/>
    <mergeCell ref="A20:C20"/>
    <mergeCell ref="A22:C22"/>
    <mergeCell ref="A1:D1"/>
    <mergeCell ref="A5:D5"/>
    <mergeCell ref="A8:C8"/>
    <mergeCell ref="A10:C10"/>
    <mergeCell ref="A12:C1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8"/>
  <sheetViews>
    <sheetView zoomScaleNormal="100" workbookViewId="0">
      <selection activeCell="A48" sqref="A48"/>
    </sheetView>
  </sheetViews>
  <sheetFormatPr baseColWidth="10" defaultColWidth="8.7109375" defaultRowHeight="15" x14ac:dyDescent="0.25"/>
  <cols>
    <col min="1" max="1" width="12" customWidth="1"/>
    <col min="2" max="2" width="55" customWidth="1"/>
    <col min="3" max="3" width="12" customWidth="1"/>
    <col min="4" max="4" width="20" customWidth="1"/>
  </cols>
  <sheetData>
    <row r="1" spans="1:4" ht="34.5" customHeight="1" x14ac:dyDescent="0.25">
      <c r="A1" s="6" t="s">
        <v>66</v>
      </c>
      <c r="B1" s="6"/>
      <c r="C1" s="6"/>
      <c r="D1" s="6"/>
    </row>
    <row r="3" spans="1:4" ht="15.75" x14ac:dyDescent="0.25">
      <c r="A3" s="34" t="s">
        <v>67</v>
      </c>
      <c r="B3" s="28" t="s">
        <v>11</v>
      </c>
      <c r="C3" s="34" t="s">
        <v>68</v>
      </c>
      <c r="D3" s="35" t="s">
        <v>12</v>
      </c>
    </row>
    <row r="4" spans="1:4" x14ac:dyDescent="0.25">
      <c r="A4" s="34" t="s">
        <v>69</v>
      </c>
      <c r="B4" t="s">
        <v>70</v>
      </c>
      <c r="C4" s="34" t="s">
        <v>71</v>
      </c>
      <c r="D4" t="s">
        <v>72</v>
      </c>
    </row>
    <row r="5" spans="1:4" ht="4.5" customHeight="1" x14ac:dyDescent="0.25">
      <c r="A5" s="5"/>
      <c r="B5" s="5"/>
      <c r="C5" s="5"/>
      <c r="D5" s="5"/>
    </row>
    <row r="7" spans="1:4" ht="24.75" customHeight="1" x14ac:dyDescent="0.25">
      <c r="A7" s="29" t="s">
        <v>73</v>
      </c>
      <c r="B7" s="29" t="s">
        <v>74</v>
      </c>
      <c r="C7" s="29" t="s">
        <v>75</v>
      </c>
    </row>
    <row r="8" spans="1:4" x14ac:dyDescent="0.25">
      <c r="A8" s="4" t="s">
        <v>76</v>
      </c>
      <c r="B8" s="4"/>
      <c r="C8" s="4"/>
    </row>
    <row r="9" spans="1:4" x14ac:dyDescent="0.25">
      <c r="A9" s="36" t="s">
        <v>26</v>
      </c>
      <c r="B9" s="37" t="s">
        <v>144</v>
      </c>
      <c r="C9" s="38">
        <v>5</v>
      </c>
    </row>
    <row r="10" spans="1:4" x14ac:dyDescent="0.25">
      <c r="A10" s="4" t="s">
        <v>78</v>
      </c>
      <c r="B10" s="4"/>
      <c r="C10" s="4"/>
    </row>
    <row r="11" spans="1:4" x14ac:dyDescent="0.25">
      <c r="A11" s="36" t="s">
        <v>28</v>
      </c>
      <c r="B11" s="37" t="s">
        <v>145</v>
      </c>
      <c r="C11" s="38">
        <v>3</v>
      </c>
    </row>
    <row r="12" spans="1:4" x14ac:dyDescent="0.25">
      <c r="A12" s="40" t="s">
        <v>28</v>
      </c>
      <c r="B12" s="41" t="s">
        <v>146</v>
      </c>
      <c r="C12" s="38">
        <v>2</v>
      </c>
    </row>
    <row r="13" spans="1:4" x14ac:dyDescent="0.25">
      <c r="A13" s="4" t="s">
        <v>79</v>
      </c>
      <c r="B13" s="4"/>
      <c r="C13" s="4"/>
    </row>
    <row r="14" spans="1:4" x14ac:dyDescent="0.25">
      <c r="A14" s="36" t="s">
        <v>30</v>
      </c>
      <c r="B14" s="37" t="s">
        <v>146</v>
      </c>
      <c r="C14" s="38">
        <v>3</v>
      </c>
    </row>
    <row r="15" spans="1:4" x14ac:dyDescent="0.25">
      <c r="A15" s="40" t="s">
        <v>30</v>
      </c>
      <c r="B15" s="41" t="s">
        <v>147</v>
      </c>
      <c r="C15" s="38">
        <v>3</v>
      </c>
    </row>
    <row r="16" spans="1:4" x14ac:dyDescent="0.25">
      <c r="A16" s="4" t="s">
        <v>81</v>
      </c>
      <c r="B16" s="4"/>
      <c r="C16" s="4"/>
    </row>
    <row r="17" spans="1:3" x14ac:dyDescent="0.25">
      <c r="A17" s="36" t="s">
        <v>32</v>
      </c>
      <c r="B17" s="37" t="s">
        <v>148</v>
      </c>
      <c r="C17" s="38">
        <v>6</v>
      </c>
    </row>
    <row r="18" spans="1:3" x14ac:dyDescent="0.25">
      <c r="A18" s="4" t="s">
        <v>83</v>
      </c>
      <c r="B18" s="4"/>
      <c r="C18" s="4"/>
    </row>
    <row r="19" spans="1:3" x14ac:dyDescent="0.25">
      <c r="A19" s="36" t="s">
        <v>34</v>
      </c>
      <c r="B19" s="37" t="s">
        <v>149</v>
      </c>
      <c r="C19" s="38">
        <v>7</v>
      </c>
    </row>
    <row r="20" spans="1:3" x14ac:dyDescent="0.25">
      <c r="A20" s="4" t="s">
        <v>85</v>
      </c>
      <c r="B20" s="4"/>
      <c r="C20" s="4"/>
    </row>
    <row r="21" spans="1:3" x14ac:dyDescent="0.25">
      <c r="A21" s="36" t="s">
        <v>36</v>
      </c>
      <c r="B21" s="37" t="s">
        <v>150</v>
      </c>
      <c r="C21" s="38">
        <v>6</v>
      </c>
    </row>
    <row r="22" spans="1:3" x14ac:dyDescent="0.25">
      <c r="A22" s="4" t="s">
        <v>87</v>
      </c>
      <c r="B22" s="4"/>
      <c r="C22" s="4"/>
    </row>
    <row r="23" spans="1:3" x14ac:dyDescent="0.25">
      <c r="A23" s="36" t="s">
        <v>38</v>
      </c>
      <c r="B23" s="37" t="s">
        <v>151</v>
      </c>
      <c r="C23" s="38">
        <v>6</v>
      </c>
    </row>
    <row r="24" spans="1:3" x14ac:dyDescent="0.25">
      <c r="A24" s="4" t="s">
        <v>89</v>
      </c>
      <c r="B24" s="4"/>
      <c r="C24" s="4"/>
    </row>
    <row r="25" spans="1:3" x14ac:dyDescent="0.25">
      <c r="A25" s="36" t="s">
        <v>40</v>
      </c>
      <c r="B25" s="37" t="s">
        <v>152</v>
      </c>
      <c r="C25" s="38">
        <v>8</v>
      </c>
    </row>
    <row r="26" spans="1:3" x14ac:dyDescent="0.25">
      <c r="A26" s="4" t="s">
        <v>91</v>
      </c>
      <c r="B26" s="4"/>
      <c r="C26" s="4"/>
    </row>
    <row r="27" spans="1:3" x14ac:dyDescent="0.25">
      <c r="A27" s="36" t="s">
        <v>42</v>
      </c>
      <c r="B27" s="37" t="s">
        <v>153</v>
      </c>
      <c r="C27" s="38">
        <v>6</v>
      </c>
    </row>
    <row r="28" spans="1:3" x14ac:dyDescent="0.25">
      <c r="A28" s="4" t="s">
        <v>93</v>
      </c>
      <c r="B28" s="4"/>
      <c r="C28" s="4"/>
    </row>
    <row r="29" spans="1:3" x14ac:dyDescent="0.25">
      <c r="A29" s="36" t="s">
        <v>44</v>
      </c>
      <c r="B29" s="37" t="s">
        <v>154</v>
      </c>
      <c r="C29" s="38">
        <v>6</v>
      </c>
    </row>
    <row r="30" spans="1:3" x14ac:dyDescent="0.25">
      <c r="A30" s="4" t="s">
        <v>95</v>
      </c>
      <c r="B30" s="4"/>
      <c r="C30" s="4"/>
    </row>
    <row r="31" spans="1:3" x14ac:dyDescent="0.25">
      <c r="A31" s="36" t="s">
        <v>46</v>
      </c>
      <c r="B31" s="37" t="s">
        <v>155</v>
      </c>
      <c r="C31" s="38">
        <v>8</v>
      </c>
    </row>
    <row r="32" spans="1:3" x14ac:dyDescent="0.25">
      <c r="A32" s="4" t="s">
        <v>97</v>
      </c>
      <c r="B32" s="4"/>
      <c r="C32" s="4"/>
    </row>
    <row r="33" spans="1:3" x14ac:dyDescent="0.25">
      <c r="A33" s="36" t="s">
        <v>48</v>
      </c>
      <c r="B33" s="37" t="s">
        <v>156</v>
      </c>
      <c r="C33" s="38">
        <v>6</v>
      </c>
    </row>
    <row r="34" spans="1:3" x14ac:dyDescent="0.25">
      <c r="A34" s="4" t="s">
        <v>99</v>
      </c>
      <c r="B34" s="4"/>
      <c r="C34" s="4"/>
    </row>
    <row r="35" spans="1:3" x14ac:dyDescent="0.25">
      <c r="A35" s="36" t="s">
        <v>50</v>
      </c>
      <c r="B35" s="37" t="s">
        <v>157</v>
      </c>
      <c r="C35" s="38">
        <v>7</v>
      </c>
    </row>
    <row r="36" spans="1:3" x14ac:dyDescent="0.25">
      <c r="A36" s="4" t="s">
        <v>101</v>
      </c>
      <c r="B36" s="4"/>
      <c r="C36" s="4"/>
    </row>
    <row r="37" spans="1:3" x14ac:dyDescent="0.25">
      <c r="A37" s="36" t="s">
        <v>52</v>
      </c>
      <c r="B37" s="37" t="s">
        <v>158</v>
      </c>
      <c r="C37" s="38">
        <v>6</v>
      </c>
    </row>
    <row r="38" spans="1:3" x14ac:dyDescent="0.25">
      <c r="A38" s="4" t="s">
        <v>103</v>
      </c>
      <c r="B38" s="4"/>
      <c r="C38" s="4"/>
    </row>
    <row r="39" spans="1:3" x14ac:dyDescent="0.25">
      <c r="A39" s="36" t="s">
        <v>54</v>
      </c>
      <c r="B39" s="37" t="s">
        <v>159</v>
      </c>
      <c r="C39" s="38">
        <v>7</v>
      </c>
    </row>
    <row r="40" spans="1:3" x14ac:dyDescent="0.25">
      <c r="A40" s="4" t="s">
        <v>105</v>
      </c>
      <c r="B40" s="4"/>
      <c r="C40" s="4"/>
    </row>
    <row r="41" spans="1:3" x14ac:dyDescent="0.25">
      <c r="A41" s="36" t="s">
        <v>56</v>
      </c>
      <c r="B41" s="37" t="s">
        <v>160</v>
      </c>
      <c r="C41" s="38">
        <v>11</v>
      </c>
    </row>
    <row r="42" spans="1:3" x14ac:dyDescent="0.25">
      <c r="A42" s="4" t="s">
        <v>107</v>
      </c>
      <c r="B42" s="4"/>
      <c r="C42" s="4"/>
    </row>
    <row r="43" spans="1:3" x14ac:dyDescent="0.25">
      <c r="A43" s="36" t="s">
        <v>58</v>
      </c>
      <c r="B43" s="37" t="s">
        <v>161</v>
      </c>
      <c r="C43" s="38">
        <v>10</v>
      </c>
    </row>
    <row r="45" spans="1:3" ht="18" x14ac:dyDescent="0.25">
      <c r="A45" s="3" t="s">
        <v>109</v>
      </c>
      <c r="B45" s="3"/>
      <c r="C45" s="39">
        <f>SUM(C8:C43)</f>
        <v>116</v>
      </c>
    </row>
    <row r="48" spans="1:3" x14ac:dyDescent="0.25">
      <c r="A48" s="16"/>
      <c r="C48" s="16"/>
    </row>
  </sheetData>
  <mergeCells count="20">
    <mergeCell ref="A36:C36"/>
    <mergeCell ref="A38:C38"/>
    <mergeCell ref="A40:C40"/>
    <mergeCell ref="A42:C42"/>
    <mergeCell ref="A45:B45"/>
    <mergeCell ref="A26:C26"/>
    <mergeCell ref="A28:C28"/>
    <mergeCell ref="A30:C30"/>
    <mergeCell ref="A32:C32"/>
    <mergeCell ref="A34:C34"/>
    <mergeCell ref="A16:C16"/>
    <mergeCell ref="A18:C18"/>
    <mergeCell ref="A20:C20"/>
    <mergeCell ref="A22:C22"/>
    <mergeCell ref="A24:C24"/>
    <mergeCell ref="A1:D1"/>
    <mergeCell ref="A5:D5"/>
    <mergeCell ref="A8:C8"/>
    <mergeCell ref="A10:C10"/>
    <mergeCell ref="A13:C13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5"/>
  <sheetViews>
    <sheetView topLeftCell="A7" zoomScaleNormal="100" workbookViewId="0">
      <selection activeCell="C62" sqref="C62"/>
    </sheetView>
  </sheetViews>
  <sheetFormatPr baseColWidth="10" defaultColWidth="8.7109375" defaultRowHeight="15" x14ac:dyDescent="0.25"/>
  <cols>
    <col min="1" max="1" width="12" customWidth="1"/>
    <col min="2" max="2" width="55" customWidth="1"/>
    <col min="3" max="3" width="12" customWidth="1"/>
    <col min="4" max="4" width="20" customWidth="1"/>
  </cols>
  <sheetData>
    <row r="1" spans="1:4" ht="34.5" customHeight="1" x14ac:dyDescent="0.25">
      <c r="A1" s="6" t="s">
        <v>66</v>
      </c>
      <c r="B1" s="6"/>
      <c r="C1" s="6"/>
      <c r="D1" s="6"/>
    </row>
    <row r="3" spans="1:4" ht="15.75" x14ac:dyDescent="0.25">
      <c r="A3" s="34" t="s">
        <v>67</v>
      </c>
      <c r="B3" s="28" t="s">
        <v>13</v>
      </c>
      <c r="C3" s="34" t="s">
        <v>68</v>
      </c>
      <c r="D3" s="35" t="s">
        <v>14</v>
      </c>
    </row>
    <row r="4" spans="1:4" x14ac:dyDescent="0.25">
      <c r="A4" s="34" t="s">
        <v>69</v>
      </c>
      <c r="B4" t="s">
        <v>70</v>
      </c>
      <c r="C4" s="34" t="s">
        <v>71</v>
      </c>
      <c r="D4" t="s">
        <v>72</v>
      </c>
    </row>
    <row r="5" spans="1:4" ht="4.5" customHeight="1" x14ac:dyDescent="0.25">
      <c r="A5" s="5"/>
      <c r="B5" s="5"/>
      <c r="C5" s="5"/>
      <c r="D5" s="5"/>
    </row>
    <row r="7" spans="1:4" ht="24.75" customHeight="1" x14ac:dyDescent="0.25">
      <c r="A7" s="29" t="s">
        <v>73</v>
      </c>
      <c r="B7" s="29" t="s">
        <v>74</v>
      </c>
      <c r="C7" s="29" t="s">
        <v>75</v>
      </c>
    </row>
    <row r="8" spans="1:4" x14ac:dyDescent="0.25">
      <c r="A8" s="4" t="s">
        <v>76</v>
      </c>
      <c r="B8" s="4"/>
      <c r="C8" s="4"/>
    </row>
    <row r="9" spans="1:4" x14ac:dyDescent="0.25">
      <c r="A9" s="36" t="s">
        <v>26</v>
      </c>
      <c r="B9" s="37" t="s">
        <v>162</v>
      </c>
      <c r="C9" s="38">
        <v>6</v>
      </c>
    </row>
    <row r="10" spans="1:4" x14ac:dyDescent="0.25">
      <c r="A10" s="4" t="s">
        <v>78</v>
      </c>
      <c r="B10" s="4"/>
      <c r="C10" s="4"/>
    </row>
    <row r="11" spans="1:4" x14ac:dyDescent="0.25">
      <c r="A11" s="36" t="s">
        <v>28</v>
      </c>
      <c r="B11" s="37" t="s">
        <v>162</v>
      </c>
      <c r="C11" s="38">
        <v>2</v>
      </c>
    </row>
    <row r="12" spans="1:4" x14ac:dyDescent="0.25">
      <c r="A12" s="40" t="s">
        <v>28</v>
      </c>
      <c r="B12" s="41" t="s">
        <v>163</v>
      </c>
      <c r="C12" s="38">
        <v>1</v>
      </c>
    </row>
    <row r="13" spans="1:4" x14ac:dyDescent="0.25">
      <c r="A13" s="36" t="s">
        <v>28</v>
      </c>
      <c r="B13" s="37" t="s">
        <v>164</v>
      </c>
      <c r="C13" s="38">
        <v>3</v>
      </c>
    </row>
    <row r="14" spans="1:4" x14ac:dyDescent="0.25">
      <c r="A14" s="4" t="s">
        <v>79</v>
      </c>
      <c r="B14" s="4"/>
      <c r="C14" s="4"/>
    </row>
    <row r="15" spans="1:4" x14ac:dyDescent="0.25">
      <c r="A15" s="36" t="s">
        <v>30</v>
      </c>
      <c r="B15" s="37" t="s">
        <v>164</v>
      </c>
      <c r="C15" s="38">
        <v>1</v>
      </c>
    </row>
    <row r="16" spans="1:4" x14ac:dyDescent="0.25">
      <c r="A16" s="40" t="s">
        <v>30</v>
      </c>
      <c r="B16" s="41" t="s">
        <v>165</v>
      </c>
      <c r="C16" s="38">
        <v>4</v>
      </c>
    </row>
    <row r="17" spans="1:3" x14ac:dyDescent="0.25">
      <c r="A17" s="36" t="s">
        <v>30</v>
      </c>
      <c r="B17" s="37" t="s">
        <v>166</v>
      </c>
      <c r="C17" s="38">
        <v>2</v>
      </c>
    </row>
    <row r="18" spans="1:3" x14ac:dyDescent="0.25">
      <c r="A18" s="4" t="s">
        <v>81</v>
      </c>
      <c r="B18" s="4"/>
      <c r="C18" s="4"/>
    </row>
    <row r="19" spans="1:3" x14ac:dyDescent="0.25">
      <c r="A19" s="36" t="s">
        <v>32</v>
      </c>
      <c r="B19" s="37" t="s">
        <v>166</v>
      </c>
      <c r="C19" s="38">
        <v>3</v>
      </c>
    </row>
    <row r="20" spans="1:3" x14ac:dyDescent="0.25">
      <c r="A20" s="40" t="s">
        <v>32</v>
      </c>
      <c r="B20" s="41" t="s">
        <v>167</v>
      </c>
      <c r="C20" s="38">
        <v>5</v>
      </c>
    </row>
    <row r="21" spans="1:3" x14ac:dyDescent="0.25">
      <c r="A21" s="4" t="s">
        <v>83</v>
      </c>
      <c r="B21" s="4"/>
      <c r="C21" s="4"/>
    </row>
    <row r="22" spans="1:3" x14ac:dyDescent="0.25">
      <c r="A22" s="36" t="s">
        <v>34</v>
      </c>
      <c r="B22" s="37" t="s">
        <v>167</v>
      </c>
      <c r="C22" s="38">
        <v>3</v>
      </c>
    </row>
    <row r="23" spans="1:3" x14ac:dyDescent="0.25">
      <c r="A23" s="40" t="s">
        <v>34</v>
      </c>
      <c r="B23" s="41" t="s">
        <v>168</v>
      </c>
      <c r="C23" s="38">
        <v>3</v>
      </c>
    </row>
    <row r="24" spans="1:3" x14ac:dyDescent="0.25">
      <c r="A24" s="4" t="s">
        <v>85</v>
      </c>
      <c r="B24" s="4"/>
      <c r="C24" s="4"/>
    </row>
    <row r="25" spans="1:3" x14ac:dyDescent="0.25">
      <c r="A25" s="36" t="s">
        <v>36</v>
      </c>
      <c r="B25" s="37" t="s">
        <v>168</v>
      </c>
      <c r="C25" s="38">
        <v>5</v>
      </c>
    </row>
    <row r="26" spans="1:3" x14ac:dyDescent="0.25">
      <c r="A26" s="40" t="s">
        <v>36</v>
      </c>
      <c r="B26" s="41" t="s">
        <v>169</v>
      </c>
      <c r="C26" s="38">
        <v>1</v>
      </c>
    </row>
    <row r="27" spans="1:3" x14ac:dyDescent="0.25">
      <c r="A27" s="4" t="s">
        <v>87</v>
      </c>
      <c r="B27" s="4"/>
      <c r="C27" s="4"/>
    </row>
    <row r="28" spans="1:3" x14ac:dyDescent="0.25">
      <c r="A28" s="36" t="s">
        <v>38</v>
      </c>
      <c r="B28" s="37" t="s">
        <v>169</v>
      </c>
      <c r="C28" s="38">
        <v>7</v>
      </c>
    </row>
    <row r="29" spans="1:3" x14ac:dyDescent="0.25">
      <c r="A29" s="4" t="s">
        <v>89</v>
      </c>
      <c r="B29" s="4"/>
      <c r="C29" s="4"/>
    </row>
    <row r="30" spans="1:3" x14ac:dyDescent="0.25">
      <c r="A30" s="36" t="s">
        <v>40</v>
      </c>
      <c r="B30" s="37" t="s">
        <v>169</v>
      </c>
      <c r="C30" s="38">
        <v>6</v>
      </c>
    </row>
    <row r="31" spans="1:3" x14ac:dyDescent="0.25">
      <c r="A31" s="4" t="s">
        <v>91</v>
      </c>
      <c r="B31" s="4"/>
      <c r="C31" s="4"/>
    </row>
    <row r="32" spans="1:3" x14ac:dyDescent="0.25">
      <c r="A32" s="36" t="s">
        <v>42</v>
      </c>
      <c r="B32" s="37" t="s">
        <v>170</v>
      </c>
      <c r="C32" s="38">
        <v>3</v>
      </c>
    </row>
    <row r="33" spans="1:3" x14ac:dyDescent="0.25">
      <c r="A33" s="40" t="s">
        <v>42</v>
      </c>
      <c r="B33" s="41" t="s">
        <v>171</v>
      </c>
      <c r="C33" s="38">
        <v>3</v>
      </c>
    </row>
    <row r="34" spans="1:3" x14ac:dyDescent="0.25">
      <c r="A34" s="4" t="s">
        <v>93</v>
      </c>
      <c r="B34" s="4"/>
      <c r="C34" s="4"/>
    </row>
    <row r="35" spans="1:3" x14ac:dyDescent="0.25">
      <c r="A35" s="36" t="s">
        <v>44</v>
      </c>
      <c r="B35" s="37" t="s">
        <v>171</v>
      </c>
      <c r="C35" s="38">
        <v>6</v>
      </c>
    </row>
    <row r="36" spans="1:3" x14ac:dyDescent="0.25">
      <c r="A36" s="4" t="s">
        <v>95</v>
      </c>
      <c r="B36" s="4"/>
      <c r="C36" s="4"/>
    </row>
    <row r="37" spans="1:3" x14ac:dyDescent="0.25">
      <c r="A37" s="36" t="s">
        <v>46</v>
      </c>
      <c r="B37" s="37" t="s">
        <v>171</v>
      </c>
      <c r="C37" s="38">
        <v>3</v>
      </c>
    </row>
    <row r="38" spans="1:3" x14ac:dyDescent="0.25">
      <c r="A38" s="40" t="s">
        <v>46</v>
      </c>
      <c r="B38" s="41" t="s">
        <v>172</v>
      </c>
      <c r="C38" s="38">
        <v>5</v>
      </c>
    </row>
    <row r="39" spans="1:3" x14ac:dyDescent="0.25">
      <c r="A39" s="4" t="s">
        <v>97</v>
      </c>
      <c r="B39" s="4"/>
      <c r="C39" s="4"/>
    </row>
    <row r="40" spans="1:3" x14ac:dyDescent="0.25">
      <c r="A40" s="36" t="s">
        <v>48</v>
      </c>
      <c r="B40" s="37" t="s">
        <v>172</v>
      </c>
      <c r="C40" s="38">
        <v>5</v>
      </c>
    </row>
    <row r="41" spans="1:3" x14ac:dyDescent="0.25">
      <c r="A41" s="40" t="s">
        <v>48</v>
      </c>
      <c r="B41" s="41" t="s">
        <v>173</v>
      </c>
      <c r="C41" s="38">
        <v>1</v>
      </c>
    </row>
    <row r="42" spans="1:3" x14ac:dyDescent="0.25">
      <c r="A42" s="4" t="s">
        <v>99</v>
      </c>
      <c r="B42" s="4"/>
      <c r="C42" s="4"/>
    </row>
    <row r="43" spans="1:3" x14ac:dyDescent="0.25">
      <c r="A43" s="36" t="s">
        <v>50</v>
      </c>
      <c r="B43" s="37" t="s">
        <v>173</v>
      </c>
      <c r="C43" s="38">
        <v>7</v>
      </c>
    </row>
    <row r="44" spans="1:3" x14ac:dyDescent="0.25">
      <c r="A44" s="4" t="s">
        <v>101</v>
      </c>
      <c r="B44" s="4"/>
      <c r="C44" s="4"/>
    </row>
    <row r="45" spans="1:3" x14ac:dyDescent="0.25">
      <c r="A45" s="36" t="s">
        <v>52</v>
      </c>
      <c r="B45" s="37" t="s">
        <v>173</v>
      </c>
      <c r="C45" s="38">
        <v>6</v>
      </c>
    </row>
    <row r="46" spans="1:3" x14ac:dyDescent="0.25">
      <c r="A46" s="4" t="s">
        <v>103</v>
      </c>
      <c r="B46" s="4"/>
      <c r="C46" s="4"/>
    </row>
    <row r="47" spans="1:3" x14ac:dyDescent="0.25">
      <c r="A47" s="36" t="s">
        <v>54</v>
      </c>
      <c r="B47" s="37" t="s">
        <v>173</v>
      </c>
      <c r="C47" s="38">
        <v>2</v>
      </c>
    </row>
    <row r="48" spans="1:3" x14ac:dyDescent="0.25">
      <c r="A48" s="40" t="s">
        <v>54</v>
      </c>
      <c r="B48" s="41" t="s">
        <v>174</v>
      </c>
      <c r="C48" s="38">
        <v>6</v>
      </c>
    </row>
    <row r="49" spans="1:3" x14ac:dyDescent="0.25">
      <c r="A49" s="4" t="s">
        <v>105</v>
      </c>
      <c r="B49" s="4"/>
      <c r="C49" s="4"/>
    </row>
    <row r="50" spans="1:3" x14ac:dyDescent="0.25">
      <c r="A50" s="36" t="s">
        <v>56</v>
      </c>
      <c r="B50" s="37" t="s">
        <v>174</v>
      </c>
      <c r="C50" s="38">
        <v>3</v>
      </c>
    </row>
    <row r="51" spans="1:3" x14ac:dyDescent="0.25">
      <c r="A51" s="40" t="s">
        <v>56</v>
      </c>
      <c r="B51" s="41" t="s">
        <v>175</v>
      </c>
      <c r="C51" s="38">
        <v>5</v>
      </c>
    </row>
    <row r="52" spans="1:3" x14ac:dyDescent="0.25">
      <c r="A52" s="4" t="s">
        <v>107</v>
      </c>
      <c r="B52" s="4"/>
      <c r="C52" s="4"/>
    </row>
    <row r="53" spans="1:3" x14ac:dyDescent="0.25">
      <c r="A53" s="36" t="s">
        <v>58</v>
      </c>
      <c r="B53" s="37" t="s">
        <v>176</v>
      </c>
      <c r="C53" s="38">
        <v>12</v>
      </c>
    </row>
    <row r="55" spans="1:3" ht="18" x14ac:dyDescent="0.25">
      <c r="A55" s="3" t="s">
        <v>109</v>
      </c>
      <c r="B55" s="3"/>
      <c r="C55" s="39">
        <f>SUM(C8:C53)</f>
        <v>119</v>
      </c>
    </row>
  </sheetData>
  <mergeCells count="20">
    <mergeCell ref="A44:C44"/>
    <mergeCell ref="A46:C46"/>
    <mergeCell ref="A49:C49"/>
    <mergeCell ref="A52:C52"/>
    <mergeCell ref="A55:B55"/>
    <mergeCell ref="A31:C31"/>
    <mergeCell ref="A34:C34"/>
    <mergeCell ref="A36:C36"/>
    <mergeCell ref="A39:C39"/>
    <mergeCell ref="A42:C42"/>
    <mergeCell ref="A18:C18"/>
    <mergeCell ref="A21:C21"/>
    <mergeCell ref="A24:C24"/>
    <mergeCell ref="A27:C27"/>
    <mergeCell ref="A29:C29"/>
    <mergeCell ref="A1:D1"/>
    <mergeCell ref="A5:D5"/>
    <mergeCell ref="A8:C8"/>
    <mergeCell ref="A10:C10"/>
    <mergeCell ref="A14:C14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54"/>
  <sheetViews>
    <sheetView tabSelected="1" topLeftCell="A40" zoomScaleNormal="100" workbookViewId="0">
      <selection activeCell="C162" sqref="C162"/>
    </sheetView>
  </sheetViews>
  <sheetFormatPr baseColWidth="10" defaultColWidth="8.7109375" defaultRowHeight="15" x14ac:dyDescent="0.25"/>
  <cols>
    <col min="1" max="1" width="25" customWidth="1"/>
    <col min="2" max="2" width="22" customWidth="1"/>
    <col min="3" max="3" width="45" customWidth="1"/>
    <col min="4" max="4" width="12" customWidth="1"/>
  </cols>
  <sheetData>
    <row r="1" spans="1:5" ht="34.5" customHeight="1" x14ac:dyDescent="0.25">
      <c r="A1" s="6" t="s">
        <v>177</v>
      </c>
      <c r="B1" s="6"/>
      <c r="C1" s="6"/>
      <c r="D1" s="6"/>
      <c r="E1" s="6"/>
    </row>
    <row r="3" spans="1:5" ht="24.75" customHeight="1" x14ac:dyDescent="0.25">
      <c r="A3" s="2" t="s">
        <v>178</v>
      </c>
      <c r="B3" s="2"/>
      <c r="C3" s="2"/>
      <c r="D3" s="2"/>
      <c r="E3" s="2"/>
    </row>
    <row r="4" spans="1:5" x14ac:dyDescent="0.25">
      <c r="A4" s="42" t="s">
        <v>62</v>
      </c>
      <c r="B4" s="42" t="s">
        <v>179</v>
      </c>
      <c r="C4" s="42" t="s">
        <v>180</v>
      </c>
      <c r="D4" s="42" t="s">
        <v>181</v>
      </c>
    </row>
    <row r="5" spans="1:5" x14ac:dyDescent="0.25">
      <c r="A5" s="43" t="s">
        <v>6</v>
      </c>
      <c r="B5" s="44" t="s">
        <v>7</v>
      </c>
      <c r="C5" s="44" t="s">
        <v>77</v>
      </c>
      <c r="D5" s="45">
        <v>4</v>
      </c>
    </row>
    <row r="6" spans="1:5" x14ac:dyDescent="0.25">
      <c r="A6" s="46" t="s">
        <v>8</v>
      </c>
      <c r="B6" s="47" t="s">
        <v>9</v>
      </c>
      <c r="C6" s="47" t="s">
        <v>182</v>
      </c>
      <c r="D6" s="48">
        <v>5</v>
      </c>
    </row>
    <row r="7" spans="1:5" x14ac:dyDescent="0.25">
      <c r="A7" s="43" t="s">
        <v>10</v>
      </c>
      <c r="B7" s="44" t="s">
        <v>9</v>
      </c>
      <c r="C7" s="44" t="s">
        <v>183</v>
      </c>
      <c r="D7" s="45">
        <v>4</v>
      </c>
    </row>
    <row r="8" spans="1:5" x14ac:dyDescent="0.25">
      <c r="A8" s="46" t="s">
        <v>11</v>
      </c>
      <c r="B8" s="47" t="s">
        <v>12</v>
      </c>
      <c r="C8" s="47" t="s">
        <v>184</v>
      </c>
      <c r="D8" s="48">
        <v>5</v>
      </c>
    </row>
    <row r="9" spans="1:5" x14ac:dyDescent="0.25">
      <c r="A9" s="43" t="s">
        <v>13</v>
      </c>
      <c r="B9" s="44" t="s">
        <v>14</v>
      </c>
      <c r="C9" s="44" t="s">
        <v>185</v>
      </c>
      <c r="D9" s="45">
        <v>6</v>
      </c>
    </row>
    <row r="10" spans="1:5" x14ac:dyDescent="0.25">
      <c r="A10" s="1" t="s">
        <v>186</v>
      </c>
      <c r="B10" s="1"/>
      <c r="C10" s="1"/>
      <c r="D10" s="49">
        <f>SUM(D5:D9)</f>
        <v>24</v>
      </c>
    </row>
    <row r="12" spans="1:5" ht="24.75" customHeight="1" x14ac:dyDescent="0.25">
      <c r="A12" s="2" t="s">
        <v>187</v>
      </c>
      <c r="B12" s="2"/>
      <c r="C12" s="2"/>
      <c r="D12" s="2"/>
      <c r="E12" s="2"/>
    </row>
    <row r="13" spans="1:5" x14ac:dyDescent="0.25">
      <c r="A13" s="42" t="s">
        <v>62</v>
      </c>
      <c r="B13" s="42" t="s">
        <v>179</v>
      </c>
      <c r="C13" s="42" t="s">
        <v>180</v>
      </c>
      <c r="D13" s="42" t="s">
        <v>181</v>
      </c>
    </row>
    <row r="14" spans="1:5" x14ac:dyDescent="0.25">
      <c r="A14" s="43" t="s">
        <v>6</v>
      </c>
      <c r="B14" s="44" t="s">
        <v>7</v>
      </c>
      <c r="C14" s="44" t="s">
        <v>77</v>
      </c>
      <c r="D14" s="45">
        <v>5</v>
      </c>
    </row>
    <row r="15" spans="1:5" x14ac:dyDescent="0.25">
      <c r="A15" s="46" t="s">
        <v>8</v>
      </c>
      <c r="B15" s="47" t="s">
        <v>9</v>
      </c>
      <c r="C15" s="47" t="s">
        <v>182</v>
      </c>
      <c r="D15" s="48">
        <v>6</v>
      </c>
    </row>
    <row r="16" spans="1:5" x14ac:dyDescent="0.25">
      <c r="A16" s="43" t="s">
        <v>10</v>
      </c>
      <c r="B16" s="44" t="s">
        <v>9</v>
      </c>
      <c r="C16" s="44" t="s">
        <v>183</v>
      </c>
      <c r="D16" s="45">
        <v>6</v>
      </c>
    </row>
    <row r="17" spans="1:5" x14ac:dyDescent="0.25">
      <c r="A17" s="46" t="s">
        <v>11</v>
      </c>
      <c r="B17" s="47" t="s">
        <v>12</v>
      </c>
      <c r="C17" s="47" t="s">
        <v>184</v>
      </c>
      <c r="D17" s="48">
        <v>5</v>
      </c>
    </row>
    <row r="18" spans="1:5" x14ac:dyDescent="0.25">
      <c r="A18" s="43" t="s">
        <v>13</v>
      </c>
      <c r="B18" s="44" t="s">
        <v>14</v>
      </c>
      <c r="C18" s="44" t="s">
        <v>185</v>
      </c>
      <c r="D18" s="45">
        <v>7</v>
      </c>
    </row>
    <row r="19" spans="1:5" x14ac:dyDescent="0.25">
      <c r="A19" s="1" t="s">
        <v>186</v>
      </c>
      <c r="B19" s="1"/>
      <c r="C19" s="1"/>
      <c r="D19" s="49">
        <f>SUM(D14:D18)</f>
        <v>29</v>
      </c>
    </row>
    <row r="21" spans="1:5" ht="24.75" customHeight="1" x14ac:dyDescent="0.25">
      <c r="A21" s="2" t="s">
        <v>188</v>
      </c>
      <c r="B21" s="2"/>
      <c r="C21" s="2"/>
      <c r="D21" s="2"/>
      <c r="E21" s="2"/>
    </row>
    <row r="22" spans="1:5" x14ac:dyDescent="0.25">
      <c r="A22" s="42" t="s">
        <v>62</v>
      </c>
      <c r="B22" s="42" t="s">
        <v>179</v>
      </c>
      <c r="C22" s="42" t="s">
        <v>180</v>
      </c>
      <c r="D22" s="42" t="s">
        <v>181</v>
      </c>
    </row>
    <row r="23" spans="1:5" x14ac:dyDescent="0.25">
      <c r="A23" s="43" t="s">
        <v>6</v>
      </c>
      <c r="B23" s="44" t="s">
        <v>7</v>
      </c>
      <c r="C23" s="44" t="s">
        <v>77</v>
      </c>
      <c r="D23" s="45">
        <v>5</v>
      </c>
    </row>
    <row r="24" spans="1:5" x14ac:dyDescent="0.25">
      <c r="A24" s="46" t="s">
        <v>8</v>
      </c>
      <c r="B24" s="47" t="s">
        <v>9</v>
      </c>
      <c r="C24" s="47" t="s">
        <v>182</v>
      </c>
      <c r="D24" s="48">
        <v>6</v>
      </c>
    </row>
    <row r="25" spans="1:5" x14ac:dyDescent="0.25">
      <c r="A25" s="43" t="s">
        <v>10</v>
      </c>
      <c r="B25" s="44" t="s">
        <v>9</v>
      </c>
      <c r="C25" s="44" t="s">
        <v>129</v>
      </c>
      <c r="D25" s="45">
        <v>4</v>
      </c>
    </row>
    <row r="26" spans="1:5" x14ac:dyDescent="0.25">
      <c r="A26" s="46" t="s">
        <v>11</v>
      </c>
      <c r="B26" s="47" t="s">
        <v>12</v>
      </c>
      <c r="C26" s="47" t="s">
        <v>184</v>
      </c>
      <c r="D26" s="48">
        <v>6</v>
      </c>
    </row>
    <row r="27" spans="1:5" x14ac:dyDescent="0.25">
      <c r="A27" s="43" t="s">
        <v>13</v>
      </c>
      <c r="B27" s="44" t="s">
        <v>14</v>
      </c>
      <c r="C27" s="44" t="s">
        <v>185</v>
      </c>
      <c r="D27" s="45">
        <v>6</v>
      </c>
    </row>
    <row r="28" spans="1:5" x14ac:dyDescent="0.25">
      <c r="A28" s="1" t="s">
        <v>186</v>
      </c>
      <c r="B28" s="1"/>
      <c r="C28" s="1"/>
      <c r="D28" s="49">
        <f>SUM(D23:D27)</f>
        <v>27</v>
      </c>
    </row>
    <row r="30" spans="1:5" ht="24.75" customHeight="1" x14ac:dyDescent="0.25">
      <c r="A30" s="2" t="s">
        <v>189</v>
      </c>
      <c r="B30" s="2"/>
      <c r="C30" s="2"/>
      <c r="D30" s="2"/>
      <c r="E30" s="2"/>
    </row>
    <row r="31" spans="1:5" x14ac:dyDescent="0.25">
      <c r="A31" s="42" t="s">
        <v>62</v>
      </c>
      <c r="B31" s="42" t="s">
        <v>179</v>
      </c>
      <c r="C31" s="42" t="s">
        <v>180</v>
      </c>
      <c r="D31" s="42" t="s">
        <v>181</v>
      </c>
    </row>
    <row r="32" spans="1:5" x14ac:dyDescent="0.25">
      <c r="A32" s="43" t="s">
        <v>6</v>
      </c>
      <c r="B32" s="44" t="s">
        <v>7</v>
      </c>
      <c r="C32" s="44" t="s">
        <v>77</v>
      </c>
      <c r="D32" s="45">
        <v>4</v>
      </c>
    </row>
    <row r="33" spans="1:5" x14ac:dyDescent="0.25">
      <c r="A33" s="46" t="s">
        <v>8</v>
      </c>
      <c r="B33" s="47" t="s">
        <v>9</v>
      </c>
      <c r="C33" s="47" t="s">
        <v>113</v>
      </c>
      <c r="D33" s="48">
        <v>6</v>
      </c>
    </row>
    <row r="34" spans="1:5" x14ac:dyDescent="0.25">
      <c r="A34" s="43" t="s">
        <v>10</v>
      </c>
      <c r="B34" s="44" t="s">
        <v>9</v>
      </c>
      <c r="C34" s="44" t="s">
        <v>129</v>
      </c>
      <c r="D34" s="45">
        <v>5</v>
      </c>
    </row>
    <row r="35" spans="1:5" x14ac:dyDescent="0.25">
      <c r="A35" s="46" t="s">
        <v>11</v>
      </c>
      <c r="B35" s="47" t="s">
        <v>12</v>
      </c>
      <c r="C35" s="47" t="s">
        <v>190</v>
      </c>
      <c r="D35" s="48">
        <v>6</v>
      </c>
    </row>
    <row r="36" spans="1:5" x14ac:dyDescent="0.25">
      <c r="A36" s="43" t="s">
        <v>13</v>
      </c>
      <c r="B36" s="44" t="s">
        <v>14</v>
      </c>
      <c r="C36" s="44" t="s">
        <v>191</v>
      </c>
      <c r="D36" s="45">
        <v>8</v>
      </c>
    </row>
    <row r="37" spans="1:5" x14ac:dyDescent="0.25">
      <c r="A37" s="1" t="s">
        <v>186</v>
      </c>
      <c r="B37" s="1"/>
      <c r="C37" s="1"/>
      <c r="D37" s="49">
        <f>SUM(D32:D36)</f>
        <v>29</v>
      </c>
    </row>
    <row r="39" spans="1:5" ht="24.75" customHeight="1" x14ac:dyDescent="0.25">
      <c r="A39" s="2" t="s">
        <v>192</v>
      </c>
      <c r="B39" s="2"/>
      <c r="C39" s="2"/>
      <c r="D39" s="2"/>
      <c r="E39" s="2"/>
    </row>
    <row r="40" spans="1:5" x14ac:dyDescent="0.25">
      <c r="A40" s="42" t="s">
        <v>62</v>
      </c>
      <c r="B40" s="42" t="s">
        <v>179</v>
      </c>
      <c r="C40" s="42" t="s">
        <v>180</v>
      </c>
      <c r="D40" s="42" t="s">
        <v>181</v>
      </c>
    </row>
    <row r="41" spans="1:5" x14ac:dyDescent="0.25">
      <c r="A41" s="43" t="s">
        <v>6</v>
      </c>
      <c r="B41" s="44" t="s">
        <v>7</v>
      </c>
      <c r="C41" s="44" t="s">
        <v>193</v>
      </c>
      <c r="D41" s="45">
        <v>5</v>
      </c>
    </row>
    <row r="42" spans="1:5" x14ac:dyDescent="0.25">
      <c r="A42" s="46" t="s">
        <v>8</v>
      </c>
      <c r="B42" s="47" t="s">
        <v>9</v>
      </c>
      <c r="C42" s="47" t="s">
        <v>113</v>
      </c>
      <c r="D42" s="48">
        <v>6</v>
      </c>
    </row>
    <row r="43" spans="1:5" x14ac:dyDescent="0.25">
      <c r="A43" s="43" t="s">
        <v>10</v>
      </c>
      <c r="B43" s="44" t="s">
        <v>9</v>
      </c>
      <c r="C43" s="44" t="s">
        <v>131</v>
      </c>
      <c r="D43" s="45">
        <v>5</v>
      </c>
    </row>
    <row r="44" spans="1:5" x14ac:dyDescent="0.25">
      <c r="A44" s="46" t="s">
        <v>11</v>
      </c>
      <c r="B44" s="47" t="s">
        <v>12</v>
      </c>
      <c r="C44" s="47" t="s">
        <v>190</v>
      </c>
      <c r="D44" s="48">
        <v>7</v>
      </c>
    </row>
    <row r="45" spans="1:5" x14ac:dyDescent="0.25">
      <c r="A45" s="43" t="s">
        <v>13</v>
      </c>
      <c r="B45" s="44" t="s">
        <v>14</v>
      </c>
      <c r="C45" s="44" t="s">
        <v>191</v>
      </c>
      <c r="D45" s="45">
        <v>6</v>
      </c>
    </row>
    <row r="46" spans="1:5" x14ac:dyDescent="0.25">
      <c r="A46" s="1" t="s">
        <v>186</v>
      </c>
      <c r="B46" s="1"/>
      <c r="C46" s="1"/>
      <c r="D46" s="49">
        <f>SUM(D41:D45)</f>
        <v>29</v>
      </c>
    </row>
    <row r="48" spans="1:5" ht="24.75" customHeight="1" x14ac:dyDescent="0.25">
      <c r="A48" s="2" t="s">
        <v>194</v>
      </c>
      <c r="B48" s="2"/>
      <c r="C48" s="2"/>
      <c r="D48" s="2"/>
      <c r="E48" s="2"/>
    </row>
    <row r="49" spans="1:5" x14ac:dyDescent="0.25">
      <c r="A49" s="42" t="s">
        <v>62</v>
      </c>
      <c r="B49" s="42" t="s">
        <v>179</v>
      </c>
      <c r="C49" s="42" t="s">
        <v>180</v>
      </c>
      <c r="D49" s="42" t="s">
        <v>181</v>
      </c>
    </row>
    <row r="50" spans="1:5" x14ac:dyDescent="0.25">
      <c r="A50" s="43" t="s">
        <v>6</v>
      </c>
      <c r="B50" s="44" t="s">
        <v>7</v>
      </c>
      <c r="C50" s="44" t="s">
        <v>193</v>
      </c>
      <c r="D50" s="45">
        <v>4</v>
      </c>
    </row>
    <row r="51" spans="1:5" x14ac:dyDescent="0.25">
      <c r="A51" s="46" t="s">
        <v>8</v>
      </c>
      <c r="B51" s="47" t="s">
        <v>9</v>
      </c>
      <c r="C51" s="47" t="s">
        <v>115</v>
      </c>
      <c r="D51" s="48">
        <v>6</v>
      </c>
    </row>
    <row r="52" spans="1:5" x14ac:dyDescent="0.25">
      <c r="A52" s="43" t="s">
        <v>10</v>
      </c>
      <c r="B52" s="44" t="s">
        <v>9</v>
      </c>
      <c r="C52" s="44" t="s">
        <v>131</v>
      </c>
      <c r="D52" s="45">
        <v>5</v>
      </c>
    </row>
    <row r="53" spans="1:5" x14ac:dyDescent="0.25">
      <c r="A53" s="46" t="s">
        <v>11</v>
      </c>
      <c r="B53" s="47" t="s">
        <v>12</v>
      </c>
      <c r="C53" s="47" t="s">
        <v>190</v>
      </c>
      <c r="D53" s="48">
        <v>6</v>
      </c>
    </row>
    <row r="54" spans="1:5" x14ac:dyDescent="0.25">
      <c r="A54" s="43" t="s">
        <v>13</v>
      </c>
      <c r="B54" s="44" t="s">
        <v>14</v>
      </c>
      <c r="C54" s="44" t="s">
        <v>191</v>
      </c>
      <c r="D54" s="45">
        <v>6</v>
      </c>
    </row>
    <row r="55" spans="1:5" x14ac:dyDescent="0.25">
      <c r="A55" s="1" t="s">
        <v>186</v>
      </c>
      <c r="B55" s="1"/>
      <c r="C55" s="1"/>
      <c r="D55" s="49">
        <f>SUM(D50:D54)</f>
        <v>27</v>
      </c>
    </row>
    <row r="57" spans="1:5" ht="24.75" customHeight="1" x14ac:dyDescent="0.25">
      <c r="A57" s="2" t="s">
        <v>195</v>
      </c>
      <c r="B57" s="2"/>
      <c r="C57" s="2"/>
      <c r="D57" s="2"/>
      <c r="E57" s="2"/>
    </row>
    <row r="58" spans="1:5" x14ac:dyDescent="0.25">
      <c r="A58" s="42" t="s">
        <v>62</v>
      </c>
      <c r="B58" s="42" t="s">
        <v>179</v>
      </c>
      <c r="C58" s="42" t="s">
        <v>180</v>
      </c>
      <c r="D58" s="42" t="s">
        <v>181</v>
      </c>
    </row>
    <row r="59" spans="1:5" x14ac:dyDescent="0.25">
      <c r="A59" s="43" t="s">
        <v>6</v>
      </c>
      <c r="B59" s="44" t="s">
        <v>7</v>
      </c>
      <c r="C59" s="44" t="s">
        <v>193</v>
      </c>
      <c r="D59" s="45">
        <v>5</v>
      </c>
    </row>
    <row r="60" spans="1:5" x14ac:dyDescent="0.25">
      <c r="A60" s="46" t="s">
        <v>8</v>
      </c>
      <c r="B60" s="47" t="s">
        <v>9</v>
      </c>
      <c r="C60" s="47" t="s">
        <v>115</v>
      </c>
      <c r="D60" s="48">
        <v>6</v>
      </c>
    </row>
    <row r="61" spans="1:5" x14ac:dyDescent="0.25">
      <c r="A61" s="43" t="s">
        <v>10</v>
      </c>
      <c r="B61" s="44" t="s">
        <v>9</v>
      </c>
      <c r="C61" s="44" t="s">
        <v>196</v>
      </c>
      <c r="D61" s="45">
        <v>6</v>
      </c>
    </row>
    <row r="62" spans="1:5" x14ac:dyDescent="0.25">
      <c r="A62" s="46" t="s">
        <v>11</v>
      </c>
      <c r="B62" s="47" t="s">
        <v>12</v>
      </c>
      <c r="C62" s="47" t="s">
        <v>190</v>
      </c>
      <c r="D62" s="48">
        <v>6</v>
      </c>
    </row>
    <row r="63" spans="1:5" x14ac:dyDescent="0.25">
      <c r="A63" s="43" t="s">
        <v>13</v>
      </c>
      <c r="B63" s="44" t="s">
        <v>14</v>
      </c>
      <c r="C63" s="44" t="s">
        <v>197</v>
      </c>
      <c r="D63" s="45">
        <v>7</v>
      </c>
    </row>
    <row r="64" spans="1:5" x14ac:dyDescent="0.25">
      <c r="A64" s="1" t="s">
        <v>186</v>
      </c>
      <c r="B64" s="1"/>
      <c r="C64" s="1"/>
      <c r="D64" s="49">
        <f>SUM(D59:D63)</f>
        <v>30</v>
      </c>
    </row>
    <row r="66" spans="1:5" ht="24.75" customHeight="1" x14ac:dyDescent="0.25">
      <c r="A66" s="2" t="s">
        <v>198</v>
      </c>
      <c r="B66" s="2"/>
      <c r="C66" s="2"/>
      <c r="D66" s="2"/>
      <c r="E66" s="2"/>
    </row>
    <row r="67" spans="1:5" x14ac:dyDescent="0.25">
      <c r="A67" s="42" t="s">
        <v>62</v>
      </c>
      <c r="B67" s="42" t="s">
        <v>179</v>
      </c>
      <c r="C67" s="42" t="s">
        <v>180</v>
      </c>
      <c r="D67" s="42" t="s">
        <v>181</v>
      </c>
    </row>
    <row r="68" spans="1:5" x14ac:dyDescent="0.25">
      <c r="A68" s="43" t="s">
        <v>6</v>
      </c>
      <c r="B68" s="44" t="s">
        <v>7</v>
      </c>
      <c r="C68" s="44" t="s">
        <v>193</v>
      </c>
      <c r="D68" s="45">
        <v>8</v>
      </c>
    </row>
    <row r="69" spans="1:5" x14ac:dyDescent="0.25">
      <c r="A69" s="46" t="s">
        <v>8</v>
      </c>
      <c r="B69" s="47" t="s">
        <v>9</v>
      </c>
      <c r="C69" s="47" t="s">
        <v>115</v>
      </c>
      <c r="D69" s="48">
        <v>6</v>
      </c>
    </row>
    <row r="70" spans="1:5" x14ac:dyDescent="0.25">
      <c r="A70" s="43" t="s">
        <v>10</v>
      </c>
      <c r="B70" s="44" t="s">
        <v>9</v>
      </c>
      <c r="C70" s="44" t="s">
        <v>196</v>
      </c>
      <c r="D70" s="45">
        <v>5</v>
      </c>
    </row>
    <row r="71" spans="1:5" x14ac:dyDescent="0.25">
      <c r="A71" s="46" t="s">
        <v>11</v>
      </c>
      <c r="B71" s="47" t="s">
        <v>12</v>
      </c>
      <c r="C71" s="47" t="s">
        <v>199</v>
      </c>
      <c r="D71" s="48">
        <v>8</v>
      </c>
    </row>
    <row r="72" spans="1:5" x14ac:dyDescent="0.25">
      <c r="A72" s="43" t="s">
        <v>13</v>
      </c>
      <c r="B72" s="44" t="s">
        <v>14</v>
      </c>
      <c r="C72" s="44" t="s">
        <v>197</v>
      </c>
      <c r="D72" s="45">
        <v>6</v>
      </c>
    </row>
    <row r="73" spans="1:5" x14ac:dyDescent="0.25">
      <c r="A73" s="1" t="s">
        <v>186</v>
      </c>
      <c r="B73" s="1"/>
      <c r="C73" s="1"/>
      <c r="D73" s="49">
        <f>SUM(D68:D72)</f>
        <v>33</v>
      </c>
    </row>
    <row r="75" spans="1:5" ht="24.75" customHeight="1" x14ac:dyDescent="0.25">
      <c r="A75" s="2" t="s">
        <v>200</v>
      </c>
      <c r="B75" s="2"/>
      <c r="C75" s="2"/>
      <c r="D75" s="2"/>
      <c r="E75" s="2"/>
    </row>
    <row r="76" spans="1:5" x14ac:dyDescent="0.25">
      <c r="A76" s="42" t="s">
        <v>62</v>
      </c>
      <c r="B76" s="42" t="s">
        <v>179</v>
      </c>
      <c r="C76" s="42" t="s">
        <v>180</v>
      </c>
      <c r="D76" s="42" t="s">
        <v>181</v>
      </c>
    </row>
    <row r="77" spans="1:5" x14ac:dyDescent="0.25">
      <c r="A77" s="43" t="s">
        <v>6</v>
      </c>
      <c r="B77" s="44" t="s">
        <v>7</v>
      </c>
      <c r="C77" s="44" t="s">
        <v>201</v>
      </c>
      <c r="D77" s="45">
        <v>5</v>
      </c>
    </row>
    <row r="78" spans="1:5" x14ac:dyDescent="0.25">
      <c r="A78" s="46" t="s">
        <v>8</v>
      </c>
      <c r="B78" s="47" t="s">
        <v>9</v>
      </c>
      <c r="C78" s="47" t="s">
        <v>202</v>
      </c>
      <c r="D78" s="48">
        <v>8</v>
      </c>
    </row>
    <row r="79" spans="1:5" x14ac:dyDescent="0.25">
      <c r="A79" s="43" t="s">
        <v>10</v>
      </c>
      <c r="B79" s="44" t="s">
        <v>9</v>
      </c>
      <c r="C79" s="44" t="s">
        <v>196</v>
      </c>
      <c r="D79" s="45">
        <v>4</v>
      </c>
    </row>
    <row r="80" spans="1:5" x14ac:dyDescent="0.25">
      <c r="A80" s="46" t="s">
        <v>11</v>
      </c>
      <c r="B80" s="47" t="s">
        <v>12</v>
      </c>
      <c r="C80" s="47" t="s">
        <v>199</v>
      </c>
      <c r="D80" s="48">
        <v>6</v>
      </c>
    </row>
    <row r="81" spans="1:5" x14ac:dyDescent="0.25">
      <c r="A81" s="43" t="s">
        <v>13</v>
      </c>
      <c r="B81" s="44" t="s">
        <v>14</v>
      </c>
      <c r="C81" s="44" t="s">
        <v>197</v>
      </c>
      <c r="D81" s="45">
        <v>6</v>
      </c>
    </row>
    <row r="82" spans="1:5" x14ac:dyDescent="0.25">
      <c r="A82" s="1" t="s">
        <v>186</v>
      </c>
      <c r="B82" s="1"/>
      <c r="C82" s="1"/>
      <c r="D82" s="49">
        <f>SUM(D77:D81)</f>
        <v>29</v>
      </c>
    </row>
    <row r="84" spans="1:5" ht="24.75" customHeight="1" x14ac:dyDescent="0.25">
      <c r="A84" s="2" t="s">
        <v>203</v>
      </c>
      <c r="B84" s="2"/>
      <c r="C84" s="2"/>
      <c r="D84" s="2"/>
      <c r="E84" s="2"/>
    </row>
    <row r="85" spans="1:5" x14ac:dyDescent="0.25">
      <c r="A85" s="42" t="s">
        <v>62</v>
      </c>
      <c r="B85" s="42" t="s">
        <v>179</v>
      </c>
      <c r="C85" s="42" t="s">
        <v>180</v>
      </c>
      <c r="D85" s="42" t="s">
        <v>181</v>
      </c>
    </row>
    <row r="86" spans="1:5" x14ac:dyDescent="0.25">
      <c r="A86" s="43" t="s">
        <v>6</v>
      </c>
      <c r="B86" s="44" t="s">
        <v>7</v>
      </c>
      <c r="C86" s="44" t="s">
        <v>201</v>
      </c>
      <c r="D86" s="45">
        <v>6</v>
      </c>
    </row>
    <row r="87" spans="1:5" x14ac:dyDescent="0.25">
      <c r="A87" s="46" t="s">
        <v>8</v>
      </c>
      <c r="B87" s="47" t="s">
        <v>9</v>
      </c>
      <c r="C87" s="47" t="s">
        <v>202</v>
      </c>
      <c r="D87" s="48">
        <v>8</v>
      </c>
    </row>
    <row r="88" spans="1:5" x14ac:dyDescent="0.25">
      <c r="A88" s="43" t="s">
        <v>10</v>
      </c>
      <c r="B88" s="44" t="s">
        <v>9</v>
      </c>
      <c r="C88" s="44" t="s">
        <v>204</v>
      </c>
      <c r="D88" s="45">
        <v>6</v>
      </c>
    </row>
    <row r="89" spans="1:5" x14ac:dyDescent="0.25">
      <c r="A89" s="46" t="s">
        <v>11</v>
      </c>
      <c r="B89" s="47" t="s">
        <v>12</v>
      </c>
      <c r="C89" s="47" t="s">
        <v>199</v>
      </c>
      <c r="D89" s="48">
        <v>6</v>
      </c>
    </row>
    <row r="90" spans="1:5" x14ac:dyDescent="0.25">
      <c r="A90" s="43" t="s">
        <v>13</v>
      </c>
      <c r="B90" s="44" t="s">
        <v>14</v>
      </c>
      <c r="C90" s="44" t="s">
        <v>205</v>
      </c>
      <c r="D90" s="45">
        <v>6</v>
      </c>
    </row>
    <row r="91" spans="1:5" x14ac:dyDescent="0.25">
      <c r="A91" s="1" t="s">
        <v>186</v>
      </c>
      <c r="B91" s="1"/>
      <c r="C91" s="1"/>
      <c r="D91" s="49">
        <f>SUM(D86:D90)</f>
        <v>32</v>
      </c>
    </row>
    <row r="93" spans="1:5" ht="24.75" customHeight="1" x14ac:dyDescent="0.25">
      <c r="A93" s="2" t="s">
        <v>206</v>
      </c>
      <c r="B93" s="2"/>
      <c r="C93" s="2"/>
      <c r="D93" s="2"/>
      <c r="E93" s="2"/>
    </row>
    <row r="94" spans="1:5" x14ac:dyDescent="0.25">
      <c r="A94" s="42" t="s">
        <v>62</v>
      </c>
      <c r="B94" s="42" t="s">
        <v>179</v>
      </c>
      <c r="C94" s="42" t="s">
        <v>180</v>
      </c>
      <c r="D94" s="42" t="s">
        <v>181</v>
      </c>
    </row>
    <row r="95" spans="1:5" x14ac:dyDescent="0.25">
      <c r="A95" s="43" t="s">
        <v>6</v>
      </c>
      <c r="B95" s="44" t="s">
        <v>7</v>
      </c>
      <c r="C95" s="44" t="s">
        <v>207</v>
      </c>
      <c r="D95" s="45">
        <v>4</v>
      </c>
    </row>
    <row r="96" spans="1:5" x14ac:dyDescent="0.25">
      <c r="A96" s="46" t="s">
        <v>8</v>
      </c>
      <c r="B96" s="47" t="s">
        <v>9</v>
      </c>
      <c r="C96" s="47" t="s">
        <v>208</v>
      </c>
      <c r="D96" s="48">
        <v>6</v>
      </c>
    </row>
    <row r="97" spans="1:5" x14ac:dyDescent="0.25">
      <c r="A97" s="43" t="s">
        <v>10</v>
      </c>
      <c r="B97" s="44" t="s">
        <v>9</v>
      </c>
      <c r="C97" s="44" t="s">
        <v>204</v>
      </c>
      <c r="D97" s="45">
        <v>5</v>
      </c>
    </row>
    <row r="98" spans="1:5" x14ac:dyDescent="0.25">
      <c r="A98" s="46" t="s">
        <v>11</v>
      </c>
      <c r="B98" s="47" t="s">
        <v>12</v>
      </c>
      <c r="C98" s="47" t="s">
        <v>199</v>
      </c>
      <c r="D98" s="48">
        <v>8</v>
      </c>
    </row>
    <row r="99" spans="1:5" x14ac:dyDescent="0.25">
      <c r="A99" s="43" t="s">
        <v>13</v>
      </c>
      <c r="B99" s="44" t="s">
        <v>14</v>
      </c>
      <c r="C99" s="44" t="s">
        <v>205</v>
      </c>
      <c r="D99" s="45">
        <v>8</v>
      </c>
    </row>
    <row r="100" spans="1:5" x14ac:dyDescent="0.25">
      <c r="A100" s="1" t="s">
        <v>186</v>
      </c>
      <c r="B100" s="1"/>
      <c r="C100" s="1"/>
      <c r="D100" s="49">
        <f>SUM(D95:D99)</f>
        <v>31</v>
      </c>
    </row>
    <row r="102" spans="1:5" ht="24.75" customHeight="1" x14ac:dyDescent="0.25">
      <c r="A102" s="2" t="s">
        <v>209</v>
      </c>
      <c r="B102" s="2"/>
      <c r="C102" s="2"/>
      <c r="D102" s="2"/>
      <c r="E102" s="2"/>
    </row>
    <row r="103" spans="1:5" x14ac:dyDescent="0.25">
      <c r="A103" s="42" t="s">
        <v>62</v>
      </c>
      <c r="B103" s="42" t="s">
        <v>179</v>
      </c>
      <c r="C103" s="42" t="s">
        <v>180</v>
      </c>
      <c r="D103" s="42" t="s">
        <v>181</v>
      </c>
    </row>
    <row r="104" spans="1:5" x14ac:dyDescent="0.25">
      <c r="A104" s="43" t="s">
        <v>6</v>
      </c>
      <c r="B104" s="44" t="s">
        <v>7</v>
      </c>
      <c r="C104" s="44" t="s">
        <v>207</v>
      </c>
      <c r="D104" s="45">
        <v>5</v>
      </c>
    </row>
    <row r="105" spans="1:5" x14ac:dyDescent="0.25">
      <c r="A105" s="46" t="s">
        <v>8</v>
      </c>
      <c r="B105" s="47" t="s">
        <v>9</v>
      </c>
      <c r="C105" s="47" t="s">
        <v>208</v>
      </c>
      <c r="D105" s="48">
        <v>6</v>
      </c>
    </row>
    <row r="106" spans="1:5" x14ac:dyDescent="0.25">
      <c r="A106" s="43" t="s">
        <v>10</v>
      </c>
      <c r="B106" s="44" t="s">
        <v>9</v>
      </c>
      <c r="C106" s="44" t="s">
        <v>204</v>
      </c>
      <c r="D106" s="45">
        <v>7</v>
      </c>
    </row>
    <row r="107" spans="1:5" x14ac:dyDescent="0.25">
      <c r="A107" s="46" t="s">
        <v>11</v>
      </c>
      <c r="B107" s="47" t="s">
        <v>12</v>
      </c>
      <c r="C107" s="47" t="s">
        <v>199</v>
      </c>
      <c r="D107" s="48">
        <v>6</v>
      </c>
    </row>
    <row r="108" spans="1:5" x14ac:dyDescent="0.25">
      <c r="A108" s="43" t="s">
        <v>13</v>
      </c>
      <c r="B108" s="44" t="s">
        <v>14</v>
      </c>
      <c r="C108" s="44" t="s">
        <v>205</v>
      </c>
      <c r="D108" s="45">
        <v>6</v>
      </c>
    </row>
    <row r="109" spans="1:5" x14ac:dyDescent="0.25">
      <c r="A109" s="1" t="s">
        <v>186</v>
      </c>
      <c r="B109" s="1"/>
      <c r="C109" s="1"/>
      <c r="D109" s="49">
        <f>SUM(D104:D108)</f>
        <v>30</v>
      </c>
    </row>
    <row r="111" spans="1:5" ht="24.75" customHeight="1" x14ac:dyDescent="0.25">
      <c r="A111" s="2" t="s">
        <v>210</v>
      </c>
      <c r="B111" s="2"/>
      <c r="C111" s="2"/>
      <c r="D111" s="2"/>
      <c r="E111" s="2"/>
    </row>
    <row r="112" spans="1:5" x14ac:dyDescent="0.25">
      <c r="A112" s="42" t="s">
        <v>62</v>
      </c>
      <c r="B112" s="42" t="s">
        <v>179</v>
      </c>
      <c r="C112" s="42" t="s">
        <v>180</v>
      </c>
      <c r="D112" s="42" t="s">
        <v>181</v>
      </c>
    </row>
    <row r="113" spans="1:5" x14ac:dyDescent="0.25">
      <c r="A113" s="43" t="s">
        <v>6</v>
      </c>
      <c r="B113" s="44" t="s">
        <v>7</v>
      </c>
      <c r="C113" s="44" t="s">
        <v>211</v>
      </c>
      <c r="D113" s="45">
        <v>4</v>
      </c>
    </row>
    <row r="114" spans="1:5" x14ac:dyDescent="0.25">
      <c r="A114" s="46" t="s">
        <v>8</v>
      </c>
      <c r="B114" s="47" t="s">
        <v>9</v>
      </c>
      <c r="C114" s="47" t="s">
        <v>208</v>
      </c>
      <c r="D114" s="48">
        <v>8</v>
      </c>
    </row>
    <row r="115" spans="1:5" x14ac:dyDescent="0.25">
      <c r="A115" s="43" t="s">
        <v>10</v>
      </c>
      <c r="B115" s="44" t="s">
        <v>9</v>
      </c>
      <c r="C115" s="44" t="s">
        <v>212</v>
      </c>
      <c r="D115" s="45">
        <v>5</v>
      </c>
    </row>
    <row r="116" spans="1:5" x14ac:dyDescent="0.25">
      <c r="A116" s="46" t="s">
        <v>11</v>
      </c>
      <c r="B116" s="47" t="s">
        <v>12</v>
      </c>
      <c r="C116" s="47" t="s">
        <v>213</v>
      </c>
      <c r="D116" s="48">
        <v>7</v>
      </c>
    </row>
    <row r="117" spans="1:5" x14ac:dyDescent="0.25">
      <c r="A117" s="43" t="s">
        <v>13</v>
      </c>
      <c r="B117" s="44" t="s">
        <v>14</v>
      </c>
      <c r="C117" s="44" t="s">
        <v>214</v>
      </c>
      <c r="D117" s="45">
        <v>7</v>
      </c>
    </row>
    <row r="118" spans="1:5" x14ac:dyDescent="0.25">
      <c r="A118" s="1" t="s">
        <v>186</v>
      </c>
      <c r="B118" s="1"/>
      <c r="C118" s="1"/>
      <c r="D118" s="49">
        <f>SUM(D113:D117)</f>
        <v>31</v>
      </c>
    </row>
    <row r="120" spans="1:5" ht="24.75" customHeight="1" x14ac:dyDescent="0.25">
      <c r="A120" s="2" t="s">
        <v>215</v>
      </c>
      <c r="B120" s="2"/>
      <c r="C120" s="2"/>
      <c r="D120" s="2"/>
      <c r="E120" s="2"/>
    </row>
    <row r="121" spans="1:5" x14ac:dyDescent="0.25">
      <c r="A121" s="42" t="s">
        <v>62</v>
      </c>
      <c r="B121" s="42" t="s">
        <v>179</v>
      </c>
      <c r="C121" s="42" t="s">
        <v>180</v>
      </c>
      <c r="D121" s="42" t="s">
        <v>181</v>
      </c>
    </row>
    <row r="122" spans="1:5" x14ac:dyDescent="0.25">
      <c r="A122" s="43" t="s">
        <v>6</v>
      </c>
      <c r="B122" s="44" t="s">
        <v>7</v>
      </c>
      <c r="C122" s="44" t="s">
        <v>211</v>
      </c>
      <c r="D122" s="45">
        <v>5</v>
      </c>
    </row>
    <row r="123" spans="1:5" x14ac:dyDescent="0.25">
      <c r="A123" s="46" t="s">
        <v>8</v>
      </c>
      <c r="B123" s="47" t="s">
        <v>9</v>
      </c>
      <c r="C123" s="47" t="s">
        <v>216</v>
      </c>
      <c r="D123" s="48">
        <v>6</v>
      </c>
    </row>
    <row r="124" spans="1:5" x14ac:dyDescent="0.25">
      <c r="A124" s="43" t="s">
        <v>10</v>
      </c>
      <c r="B124" s="44" t="s">
        <v>9</v>
      </c>
      <c r="C124" s="44" t="s">
        <v>212</v>
      </c>
      <c r="D124" s="45">
        <v>4</v>
      </c>
    </row>
    <row r="125" spans="1:5" x14ac:dyDescent="0.25">
      <c r="A125" s="46" t="s">
        <v>11</v>
      </c>
      <c r="B125" s="47" t="s">
        <v>12</v>
      </c>
      <c r="C125" s="47" t="s">
        <v>213</v>
      </c>
      <c r="D125" s="48">
        <v>6</v>
      </c>
    </row>
    <row r="126" spans="1:5" x14ac:dyDescent="0.25">
      <c r="A126" s="43" t="s">
        <v>13</v>
      </c>
      <c r="B126" s="44" t="s">
        <v>14</v>
      </c>
      <c r="C126" s="44" t="s">
        <v>214</v>
      </c>
      <c r="D126" s="45">
        <v>6</v>
      </c>
    </row>
    <row r="127" spans="1:5" x14ac:dyDescent="0.25">
      <c r="A127" s="1" t="s">
        <v>186</v>
      </c>
      <c r="B127" s="1"/>
      <c r="C127" s="1"/>
      <c r="D127" s="49">
        <f>SUM(D122:D126)</f>
        <v>27</v>
      </c>
    </row>
    <row r="129" spans="1:5" ht="24.75" customHeight="1" x14ac:dyDescent="0.25">
      <c r="A129" s="2" t="s">
        <v>217</v>
      </c>
      <c r="B129" s="2"/>
      <c r="C129" s="2"/>
      <c r="D129" s="2"/>
      <c r="E129" s="2"/>
    </row>
    <row r="130" spans="1:5" x14ac:dyDescent="0.25">
      <c r="A130" s="42" t="s">
        <v>62</v>
      </c>
      <c r="B130" s="42" t="s">
        <v>179</v>
      </c>
      <c r="C130" s="42" t="s">
        <v>180</v>
      </c>
      <c r="D130" s="42" t="s">
        <v>181</v>
      </c>
    </row>
    <row r="131" spans="1:5" x14ac:dyDescent="0.25">
      <c r="A131" s="43" t="s">
        <v>6</v>
      </c>
      <c r="B131" s="44" t="s">
        <v>7</v>
      </c>
      <c r="C131" s="44" t="s">
        <v>104</v>
      </c>
      <c r="D131" s="45">
        <v>6</v>
      </c>
    </row>
    <row r="132" spans="1:5" x14ac:dyDescent="0.25">
      <c r="A132" s="46" t="s">
        <v>8</v>
      </c>
      <c r="B132" s="47" t="s">
        <v>9</v>
      </c>
      <c r="C132" s="47" t="s">
        <v>216</v>
      </c>
      <c r="D132" s="48">
        <v>7</v>
      </c>
    </row>
    <row r="133" spans="1:5" x14ac:dyDescent="0.25">
      <c r="A133" s="43" t="s">
        <v>10</v>
      </c>
      <c r="B133" s="44" t="s">
        <v>9</v>
      </c>
      <c r="C133" s="44" t="s">
        <v>212</v>
      </c>
      <c r="D133" s="45">
        <v>7</v>
      </c>
    </row>
    <row r="134" spans="1:5" x14ac:dyDescent="0.25">
      <c r="A134" s="46" t="s">
        <v>11</v>
      </c>
      <c r="B134" s="47" t="s">
        <v>12</v>
      </c>
      <c r="C134" s="47" t="s">
        <v>213</v>
      </c>
      <c r="D134" s="48">
        <v>7</v>
      </c>
    </row>
    <row r="135" spans="1:5" x14ac:dyDescent="0.25">
      <c r="A135" s="43" t="s">
        <v>13</v>
      </c>
      <c r="B135" s="44" t="s">
        <v>14</v>
      </c>
      <c r="C135" s="44" t="s">
        <v>214</v>
      </c>
      <c r="D135" s="45">
        <v>8</v>
      </c>
    </row>
    <row r="136" spans="1:5" x14ac:dyDescent="0.25">
      <c r="A136" s="1" t="s">
        <v>186</v>
      </c>
      <c r="B136" s="1"/>
      <c r="C136" s="1"/>
      <c r="D136" s="49">
        <f>SUM(D131:D135)</f>
        <v>35</v>
      </c>
    </row>
    <row r="138" spans="1:5" ht="24.75" customHeight="1" x14ac:dyDescent="0.25">
      <c r="A138" s="2" t="s">
        <v>218</v>
      </c>
      <c r="B138" s="2"/>
      <c r="C138" s="2"/>
      <c r="D138" s="2"/>
      <c r="E138" s="2"/>
    </row>
    <row r="139" spans="1:5" x14ac:dyDescent="0.25">
      <c r="A139" s="42" t="s">
        <v>62</v>
      </c>
      <c r="B139" s="42" t="s">
        <v>179</v>
      </c>
      <c r="C139" s="42" t="s">
        <v>180</v>
      </c>
      <c r="D139" s="42" t="s">
        <v>181</v>
      </c>
    </row>
    <row r="140" spans="1:5" x14ac:dyDescent="0.25">
      <c r="A140" s="43" t="s">
        <v>6</v>
      </c>
      <c r="B140" s="44" t="s">
        <v>7</v>
      </c>
      <c r="C140" s="44" t="s">
        <v>104</v>
      </c>
      <c r="D140" s="45">
        <v>7</v>
      </c>
    </row>
    <row r="141" spans="1:5" x14ac:dyDescent="0.25">
      <c r="A141" s="46" t="s">
        <v>8</v>
      </c>
      <c r="B141" s="47" t="s">
        <v>9</v>
      </c>
      <c r="C141" s="47" t="s">
        <v>125</v>
      </c>
      <c r="D141" s="48">
        <v>8</v>
      </c>
    </row>
    <row r="142" spans="1:5" x14ac:dyDescent="0.25">
      <c r="A142" s="43" t="s">
        <v>10</v>
      </c>
      <c r="B142" s="44" t="s">
        <v>9</v>
      </c>
      <c r="C142" s="44" t="s">
        <v>142</v>
      </c>
      <c r="D142" s="45">
        <v>6</v>
      </c>
    </row>
    <row r="143" spans="1:5" x14ac:dyDescent="0.25">
      <c r="A143" s="46" t="s">
        <v>11</v>
      </c>
      <c r="B143" s="47" t="s">
        <v>12</v>
      </c>
      <c r="C143" s="47" t="s">
        <v>213</v>
      </c>
      <c r="D143" s="48">
        <v>11</v>
      </c>
    </row>
    <row r="144" spans="1:5" x14ac:dyDescent="0.25">
      <c r="A144" s="43" t="s">
        <v>13</v>
      </c>
      <c r="B144" s="44" t="s">
        <v>14</v>
      </c>
      <c r="C144" s="44" t="s">
        <v>219</v>
      </c>
      <c r="D144" s="45">
        <v>8</v>
      </c>
    </row>
    <row r="145" spans="1:5" x14ac:dyDescent="0.25">
      <c r="A145" s="1" t="s">
        <v>186</v>
      </c>
      <c r="B145" s="1"/>
      <c r="C145" s="1"/>
      <c r="D145" s="49">
        <f>SUM(D140:D144)</f>
        <v>40</v>
      </c>
    </row>
    <row r="147" spans="1:5" ht="24.75" customHeight="1" x14ac:dyDescent="0.25">
      <c r="A147" s="2" t="s">
        <v>220</v>
      </c>
      <c r="B147" s="2"/>
      <c r="C147" s="2"/>
      <c r="D147" s="2"/>
      <c r="E147" s="2"/>
    </row>
    <row r="148" spans="1:5" x14ac:dyDescent="0.25">
      <c r="A148" s="42" t="s">
        <v>62</v>
      </c>
      <c r="B148" s="42" t="s">
        <v>179</v>
      </c>
      <c r="C148" s="42" t="s">
        <v>180</v>
      </c>
      <c r="D148" s="42" t="s">
        <v>181</v>
      </c>
    </row>
    <row r="149" spans="1:5" x14ac:dyDescent="0.25">
      <c r="A149" s="43" t="s">
        <v>6</v>
      </c>
      <c r="B149" s="44" t="s">
        <v>7</v>
      </c>
      <c r="C149" s="44" t="s">
        <v>104</v>
      </c>
      <c r="D149" s="45">
        <v>10</v>
      </c>
    </row>
    <row r="150" spans="1:5" x14ac:dyDescent="0.25">
      <c r="A150" s="46" t="s">
        <v>8</v>
      </c>
      <c r="B150" s="47" t="s">
        <v>9</v>
      </c>
      <c r="C150" s="47" t="s">
        <v>125</v>
      </c>
      <c r="D150" s="48">
        <v>11</v>
      </c>
    </row>
    <row r="151" spans="1:5" x14ac:dyDescent="0.25">
      <c r="A151" s="43" t="s">
        <v>10</v>
      </c>
      <c r="B151" s="44" t="s">
        <v>9</v>
      </c>
      <c r="C151" s="44" t="s">
        <v>142</v>
      </c>
      <c r="D151" s="45">
        <v>9</v>
      </c>
    </row>
    <row r="152" spans="1:5" x14ac:dyDescent="0.25">
      <c r="A152" s="46" t="s">
        <v>11</v>
      </c>
      <c r="B152" s="47" t="s">
        <v>12</v>
      </c>
      <c r="C152" s="47" t="s">
        <v>213</v>
      </c>
      <c r="D152" s="48">
        <v>10</v>
      </c>
    </row>
    <row r="153" spans="1:5" x14ac:dyDescent="0.25">
      <c r="A153" s="43" t="s">
        <v>13</v>
      </c>
      <c r="B153" s="44" t="s">
        <v>14</v>
      </c>
      <c r="C153" s="44" t="s">
        <v>219</v>
      </c>
      <c r="D153" s="45">
        <v>12</v>
      </c>
    </row>
    <row r="154" spans="1:5" x14ac:dyDescent="0.25">
      <c r="A154" s="1" t="s">
        <v>186</v>
      </c>
      <c r="B154" s="1"/>
      <c r="C154" s="1"/>
      <c r="D154" s="49">
        <f>SUM(D149:D153)</f>
        <v>52</v>
      </c>
    </row>
  </sheetData>
  <mergeCells count="35">
    <mergeCell ref="A136:C136"/>
    <mergeCell ref="A138:E138"/>
    <mergeCell ref="A145:C145"/>
    <mergeCell ref="A147:E147"/>
    <mergeCell ref="A154:C154"/>
    <mergeCell ref="A111:E111"/>
    <mergeCell ref="A118:C118"/>
    <mergeCell ref="A120:E120"/>
    <mergeCell ref="A127:C127"/>
    <mergeCell ref="A129:E129"/>
    <mergeCell ref="A91:C91"/>
    <mergeCell ref="A93:E93"/>
    <mergeCell ref="A100:C100"/>
    <mergeCell ref="A102:E102"/>
    <mergeCell ref="A109:C109"/>
    <mergeCell ref="A66:E66"/>
    <mergeCell ref="A73:C73"/>
    <mergeCell ref="A75:E75"/>
    <mergeCell ref="A82:C82"/>
    <mergeCell ref="A84:E84"/>
    <mergeCell ref="A46:C46"/>
    <mergeCell ref="A48:E48"/>
    <mergeCell ref="A55:C55"/>
    <mergeCell ref="A57:E57"/>
    <mergeCell ref="A64:C64"/>
    <mergeCell ref="A21:E21"/>
    <mergeCell ref="A28:C28"/>
    <mergeCell ref="A30:E30"/>
    <mergeCell ref="A37:C37"/>
    <mergeCell ref="A39:E39"/>
    <mergeCell ref="A1:E1"/>
    <mergeCell ref="A3:E3"/>
    <mergeCell ref="A10:C10"/>
    <mergeCell ref="A12:E12"/>
    <mergeCell ref="A19:C1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Page de Garde</vt:lpstr>
      <vt:lpstr>Contribution</vt:lpstr>
      <vt:lpstr>Récapitulatif Global</vt:lpstr>
      <vt:lpstr>LANOUAR</vt:lpstr>
      <vt:lpstr>BENHABIB</vt:lpstr>
      <vt:lpstr>FELOUAH</vt:lpstr>
      <vt:lpstr>MEHADJI</vt:lpstr>
      <vt:lpstr>BOUSARGHINI</vt:lpstr>
      <vt:lpstr>Synthèse Hebdo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mohamedyacinemeh@gmail.com</cp:lastModifiedBy>
  <cp:revision>0</cp:revision>
  <dcterms:created xsi:type="dcterms:W3CDTF">2026-01-22T19:13:31Z</dcterms:created>
  <dcterms:modified xsi:type="dcterms:W3CDTF">2026-01-22T23:35:26Z</dcterms:modified>
  <dc:language>en-US</dc:language>
</cp:coreProperties>
</file>